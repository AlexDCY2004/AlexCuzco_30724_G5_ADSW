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6to semestre\Analisi y diseño\AlexCuzco_30724_G5_ADSW\Proyecto-Eventual\1. Elicitación\1.3 Historias de usuario\"/>
    </mc:Choice>
  </mc:AlternateContent>
  <xr:revisionPtr revIDLastSave="0" documentId="13_ncr:1_{1AE9A06A-ABA9-4A8F-9913-B4080970089D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<sst xmlns="http://schemas.openxmlformats.org/spreadsheetml/2006/main" count="179" uniqueCount="131">
  <si>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</si>
  <si>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</si>
  <si>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</si>
  <si>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</si>
  <si>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</si>
  <si>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</si>
  <si>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</si>
  <si>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</si>
  <si>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</si>
  <si>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</si>
  <si>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</si>
  <si>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</si>
  <si>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</si>
  <si>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</si>
  <si>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</si>
  <si>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</si>
  <si>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Los usuarios no pueden acceder al sistema de forma segura ni diferenciada por rol.</t>
  </si>
  <si>
    <t>Para garantizar que solo usuarios autorizados accedan al sistema y a las funcionalidades correspondientes a su rol.</t>
  </si>
  <si>
    <t>Usuario (Socio, Tesorero, Presidente, Secretario)</t>
  </si>
  <si>
    <t>El usuario ingresa su cédula y contraseña en la aplicación móvil. El sistema valida las credenciales, determina el rol (socio, tesorero, presidente o secretario) y redirige a la pantalla principal correspondiente. Si las credenciales son incorrectas, permite reintentar hasta 3 veces; tras 3 intentos fallidos, bloquea la cuenta por 15 minutos.</t>
  </si>
  <si>
    <t>Alex Cuzco</t>
  </si>
  <si>
    <t>Alta</t>
  </si>
  <si>
    <t>En proceso</t>
  </si>
  <si>
    <t>Verificar que un usuario con credenciales válidas accede correctamente según su rol. Confirmar que tras 3 intentos fallidos la cuenta se bloquea 15 minutos y se muestra el mensaje correspondiente.</t>
  </si>
  <si>
    <t>Acceso al Software</t>
  </si>
  <si>
    <t>REQ002</t>
  </si>
  <si>
    <t>El Presidente y Tesorero no tienen una forma de gestionar los miembros del club dentro del sistema.</t>
  </si>
  <si>
    <t>Para administrar el registro completo de usuarios del sistema y mantener actualizada la información de los miembros del club.</t>
  </si>
  <si>
    <t>Presidente</t>
  </si>
  <si>
    <t>El Presidente accede a 'Gestionar Miembros' y puede: registrar nuevos socios ingresando sus datos personales (el sistema genera credenciales automáticas y las envía por WhatsApp), asignar o cambiar roles, modificar información de contacto, o desactivar socios bloqueando su acceso e invalidando su sesión activa.</t>
  </si>
  <si>
    <t>Verificar que el sistema genera y envía credenciales al registrar un socio, que los cambios de rol se aplican de inmediato, que la modificación de datos notifica al socio y que al desactivar un socio su sesión queda bloqueada.</t>
  </si>
  <si>
    <t>Gestionar Miembros</t>
  </si>
  <si>
    <t>REQ003</t>
  </si>
  <si>
    <t>Los usuarios no tienen forma de visualizar los eventos programados de manera organizada.</t>
  </si>
  <si>
    <t>Para que los usuarios puedan informarse sobre los eventos próximos, filtrarlos por tipo y configurar recordatorios personales.</t>
  </si>
  <si>
    <t>El usuario accede a la sección 'Calendario', visualiza los eventos del mes diferenciados por color (azul=social, verde=deportivo), selecciona un evento para ver su detalle, aplica filtros por tipo, navega entre meses y configura recordatorios de 15, 7 o 1 día antes del evento.</t>
  </si>
  <si>
    <t>Dylan Alvarado</t>
  </si>
  <si>
    <t xml:space="preserve">Media </t>
  </si>
  <si>
    <t>Verificar que el calendario muestra los eventos con colores correctos, que los filtros funcionan, que la navegación entre meses carga los eventos correspondientes y que los recordatorios se programan correctamente.</t>
  </si>
  <si>
    <t>Consultar Calendario de Eventos</t>
  </si>
  <si>
    <t>REQ004</t>
  </si>
  <si>
    <t>Los socios no tienen un canal formal para proponer nuevos eventos al club.</t>
  </si>
  <si>
    <t>Para que cualquier socio pueda presentar ideas de eventos y el presidente pueda evaluarlas formalmente.</t>
  </si>
  <si>
    <t>Socio</t>
  </si>
  <si>
    <t>El socio accede a 'Proponer Evento', completa el formulario (tipo de evento, descripción mínimo 50 caracteres, fecha futura, motivo), envía la propuesta y el sistema la registra con estado 'Pendiente', genera un número de seguimiento PRO-YYYY-NNN y notifica al Presidente y Tesorero.</t>
  </si>
  <si>
    <t>Pablo Domínguez</t>
  </si>
  <si>
    <t>Verificar que el socio recibe el número de seguimiento al enviar la propuesta, que el sistema rechaza descripciones menores a 50 caracteres, fechas pasadas y campos vacíos, y que el Presidente y Tesorero reciben la notificación.</t>
  </si>
  <si>
    <t>Proponer Evento</t>
  </si>
  <si>
    <t>REQ005</t>
  </si>
  <si>
    <t>No existe un mecanismo para que los socios confirmen su asistencia y registren acompañantes.</t>
  </si>
  <si>
    <t>Para que el club pueda conocer con anticipación el número de participantes y gestionar el aforo del evento.</t>
  </si>
  <si>
    <t>El socio accede al evento desde el calendario o notificación, selecciona 'Confirmar Asistencia', indica si asistirá, ingresa el número de acompañantes (0-5) con sus datos (nombre, edad, relación) y comentarios opcionales. El sistema valida el cupo disponible y registra la confirmación con fecha y hora.</t>
  </si>
  <si>
    <t>Verificar que el sistema impide confirmar fuera del plazo de 15 días, que valida el límite de acompañantes, que actualiza el contador de participantes y que no permite confirmación si no hay cupo disponible.</t>
  </si>
  <si>
    <t>Confirmar Asistencia a Evento</t>
  </si>
  <si>
    <t>REQ006</t>
  </si>
  <si>
    <t>El tesorero no tiene una herramienta para documentar los gastos de cada evento de forma controlada.</t>
  </si>
  <si>
    <t>Para controlar que los gastos no excedan el presupuesto asignado y mantener un registro financiero del evento.</t>
  </si>
  <si>
    <t>Tesorero</t>
  </si>
  <si>
    <t>El Tesorero accede a 'Registrar Gastos', selecciona el evento, completa el formulario (categoría, monto, fecha, método de pago, comprobante, descripción, responsable, proveedor opcional) y guarda. El sistema valida que no exceda el presupuesto, alerta al 90%, descuenta el monto de la cuenta del club y actualiza el balance.</t>
  </si>
  <si>
    <t>Verificar que el sistema bloquea el registro si el gasto excede el presupuesto total, que emite alerta al 90%, que el comprobante es obligatorio y que el balance del evento se actualiza correctamente tras cada registro.</t>
  </si>
  <si>
    <t>Registrar Gastos del Evento</t>
  </si>
  <si>
    <t>REQ007</t>
  </si>
  <si>
    <t>No existe un registro formal de los aportes económicos mensuales de los socios.</t>
  </si>
  <si>
    <t>Para mantener actualizado el fondo común del club y el estado de cuenta de cada socio.</t>
  </si>
  <si>
    <t>El Tesorero accede a 'Registrar Aportes Económicos', busca al socio, selecciona el método de pago (efectivo o transferencia), ingresa monto, fecha y observaciones. Si es transferencia, carga el comprobante. El sistema valida el monto, aprueba o rechaza el aporte y actualiza el fondo común del club.</t>
  </si>
  <si>
    <t>Verificar que el sistema actualiza el fondo común al aprobar un aporte, que bloquea aportes duplicados del mismo socio en el mismo período y que notifica al socio al registrar el pago.</t>
  </si>
  <si>
    <t>Registrar Aportes Económicos</t>
  </si>
  <si>
    <t>REQ008</t>
  </si>
  <si>
    <t>El Presidente no tiene una herramienta para formalizar y registrar oficialmente un evento.</t>
  </si>
  <si>
    <t>Para que el evento quede oficialmente registrado en el sistema y habilitado para su posterior difusión.</t>
  </si>
  <si>
    <t>El Presidente accede a 'Registrar Evento', selecciona un evento con estado 'Definido', revisa los datos, carga documentos de respaldo (PDF, jpg, png), confirma el registro. El sistema genera el código EVT-YYYY-NNN, programa notificaciones, cambia el estado a 'Registrado' y habilita la opción 'Difundir Evento'.</t>
  </si>
  <si>
    <t>Verificar que el sistema genera el código único EVT-YYYY-NNN, que rechaza documentos con formato o tamaño inválido, que el estado cambia a 'Registrado' y que la opción 'Difundir Evento' queda habilitada.</t>
  </si>
  <si>
    <t>Registrar Evento</t>
  </si>
  <si>
    <t>REQ009</t>
  </si>
  <si>
    <t>El Secretario no tiene un mecanismo para comunicar los eventos masivamente a los socios.</t>
  </si>
  <si>
    <t>Para que todos los socios sean informados oportunamente sobre los eventos con al menos 15 días de anticipación.</t>
  </si>
  <si>
    <t>Secretario</t>
  </si>
  <si>
    <t>El Secretario accede a 'Difundir Evento', selecciona el evento registrado, personaliza el mensaje con la plantilla institucional, selecciona los canales (WhatsApp y/o app), define la fecha y hora de envío, configura recordatorios (15, 7 o 1 día antes) y confirma la difusión. El sistema registra los envíos y cambia el estado a 'Difundido'.</t>
  </si>
  <si>
    <t>Verificar que el sistema impide difundir sin seleccionar canal, que los recordatorios se programan correctamente, que el estado del evento cambia a 'Difundido' y que se registra el resultado del proceso de difusión.</t>
  </si>
  <si>
    <t>Difundir Información del Evento</t>
  </si>
  <si>
    <t>REQ010</t>
  </si>
  <si>
    <t>No existe un registro de proveedores de servicios disponibles para la planificación de eventos.</t>
  </si>
  <si>
    <t>Para que la información de proveedores esté disponible durante la planificación y cotización de eventos.</t>
  </si>
  <si>
    <t>El Secretario accede a 'Registrar Proveedor', completa el formulario (nombre, categoría, teléfono, email, servicios ofrecidos, dirección, calificación inicial) y confirma el registro. El sistema valida los datos, guarda la información y la deja disponible para consulta en la planificación de eventos.</t>
  </si>
  <si>
    <t>Verificar que el sistema impide registrar un proveedor duplicado, que valida los campos de contacto obligatorios y que el proveedor queda disponible para consulta en el módulo de Definir Evento.</t>
  </si>
  <si>
    <t>Ingresar Proveedor</t>
  </si>
  <si>
    <t>REQ011</t>
  </si>
  <si>
    <t>El Presidente no tiene una herramienta para evaluar, aprobar o rechazar propuestas de eventos y programarlos formalmente.</t>
  </si>
  <si>
    <t>Para formalizar la planificación del evento con todos sus parámetros antes de su organización y difusión.</t>
  </si>
  <si>
    <t>Presidente, Tesorero</t>
  </si>
  <si>
    <t>El Presidente accede a 'Eventos Listos para Programar', selecciona una propuesta pendiente, revisa la información del socio proponente, decide aprobar o rechazar. Si aprueba, define la ubicación, fecha y hora definitivas. El sistema verifica conflictos con otros eventos, registra la programación y cambia el estado a 'Definido'.</t>
  </si>
  <si>
    <t>Verificar que el sistema detecta conflictos de fecha con otros eventos, que al rechazar una propuesta no se genera ningún evento, que el estado cambia a 'Definido' al aprobar y que la fecha debe ser futura y válida.</t>
  </si>
  <si>
    <t>Definir Evento</t>
  </si>
  <si>
    <t>REQ012</t>
  </si>
  <si>
    <t>El Presidente no cuenta con una herramienta para registrar la asistencia real y cerrar formalmente el evento.</t>
  </si>
  <si>
    <t>Para obtener datos reales de participación y dejar el evento listo para la liquidación financiera.</t>
  </si>
  <si>
    <t>El Presidente accede a 'Ejecutar Evento', selecciona el evento activo y registra la asistencia escaneando el QR de cada participante o ingresando manualmente sus datos. Al finalizar, selecciona 'Cerrar Evento', el sistema consolida la lista de presentes, calcula la tasa de participación, bloquea la edición y habilita la liquidación financiera.</t>
  </si>
  <si>
    <t>Verificar que el sistema detecta QR inválidos o duplicados, que el cierre del evento es irreversible, que calcula correctamente la tasa de participación y que habilita el módulo de liquidación al cerrar.</t>
  </si>
  <si>
    <t>Ejecutar Evento</t>
  </si>
  <si>
    <t>REQ013</t>
  </si>
  <si>
    <t>Los usuarios no tienen acceso a reportes consolidados sobre participación, historial de eventos y liquidaciones.</t>
  </si>
  <si>
    <t>Para que los usuarios puedan consultar y exportar información consolidada del club para toma de decisiones y seguimiento.</t>
  </si>
  <si>
    <t>El usuario accede al módulo 'Generar Reportes', selecciona el tipo de reporte (Participación de Socios, Historial de Eventos o Liquidaciones), aplica filtros por fecha, tipo o estado, y genera el reporte. El sistema calcula tasas y totales, muestra la información en pantalla y permite exportarla a PDF o Excel.</t>
  </si>
  <si>
    <t>Verificar que los filtros funcionan correctamente, que el sistema muestra mensaje cuando no hay datos para los criterios seleccionados, que los cálculos de tasas y totales son correctos y que la exportación a PDF y Excel genera el archivo correctamente.</t>
  </si>
  <si>
    <t>Generar Reportes</t>
  </si>
  <si>
    <t>No iniciado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</si>
  <si>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</si>
  <si>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</si>
  <si>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</si>
  <si>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</si>
  <si>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</si>
  <si>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</si>
  <si>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</si>
  <si>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</si>
  <si>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</si>
  <si>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</si>
  <si>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</si>
  <si>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</si>
  <si>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El sistema deberá permitir al usuario autenticarse con cédula y contraseña para acceder a las funcionalidades según su rol.</t>
  </si>
  <si>
    <t>El sistema deberá permitir al Presidente agregar nuevos socios, asignar roles, modificar datos personales y desactivar socios.</t>
  </si>
  <si>
    <t>El sistema deberá mostrar una vista de calendario mensual con todos los eventos programados, con filtros y recordatorios personalizables.</t>
  </si>
  <si>
    <t>El sistema deberá permitir al socio proponer eventos mediante un formulario digital con tipo, descripción, fecha sugerida y justificación.</t>
  </si>
  <si>
    <t>El sistema deberá permitir al socio confirmar su asistencia a un evento e ingresar los datos de sus acompañantes.</t>
  </si>
  <si>
    <t>El sistema deberá permitir al Tesorero registrar los gastos del evento con categoría, monto, comprobante y validación de presupuesto.</t>
  </si>
  <si>
    <t>El sistema deberá permitir al Tesorero registrar y validar los aportes económicos mensuales de los socios.</t>
  </si>
  <si>
    <t>El sistema deberá permitir al Presidente registrar formalmente un evento previamente definido, cargando documentación y generando su código único.</t>
  </si>
  <si>
    <t>El sistema deberá permitir al Secretario configurar y ejecutar la difusión de información de un evento mediante canales de notificación.</t>
  </si>
  <si>
    <t>El sistema deberá permitir al Secretario registrar proveedores con sus datos de contacto, categoría, servicios y calificación.</t>
  </si>
  <si>
    <t>El sistema deberá permitir al Presidente revisar propuestas de eventos, aprobarlas o rechazarlas y definir fecha, hora y ubicación del evento.</t>
  </si>
  <si>
    <t>El sistema deberá permitir al Presidente registrar la asistencia de socios y acompañantes el día del evento y cerrarlo formalmente.</t>
  </si>
  <si>
    <t>El sistema deberá permitir a cualquier usuario generar reportes de participación de socios, historial de eventos y liquidaciones financieras.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</si>
</sst>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"/>
    </font>
    <font>
      <sz val="11"/>
      <color rgb="FF000000"/>
      <name val="Arial Narrow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4" borderId="5" xfId="0" applyFont="1" applyFill="1" applyBorder="1"/>
    <xf numFmtId="0" fontId="5" fillId="3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7" fillId="5" borderId="8" xfId="0" applyFont="1" applyFill="1" applyBorder="1"/>
    <xf numFmtId="0" fontId="8" fillId="5" borderId="9" xfId="0" applyFont="1" applyFill="1" applyBorder="1" applyAlignment="1">
      <alignment horizontal="left" vertical="center" wrapText="1"/>
    </xf>
    <xf numFmtId="0" fontId="9" fillId="5" borderId="9" xfId="0" applyFont="1" applyFill="1" applyBorder="1"/>
    <xf numFmtId="0" fontId="7" fillId="5" borderId="9" xfId="0" applyFont="1" applyFill="1" applyBorder="1"/>
    <xf numFmtId="0" fontId="7" fillId="5" borderId="10" xfId="0" applyFont="1" applyFill="1" applyBorder="1"/>
    <xf numFmtId="0" fontId="7" fillId="5" borderId="11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7" fillId="5" borderId="5" xfId="0" applyFont="1" applyFill="1" applyBorder="1"/>
    <xf numFmtId="0" fontId="7" fillId="5" borderId="12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7" fillId="5" borderId="29" xfId="0" applyFont="1" applyFill="1" applyBorder="1"/>
    <xf numFmtId="0" fontId="7" fillId="5" borderId="30" xfId="0" applyFont="1" applyFill="1" applyBorder="1"/>
    <xf numFmtId="0" fontId="7" fillId="5" borderId="31" xfId="0" applyFont="1" applyFill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7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6" fillId="0" borderId="0" xfId="0" applyFont="1" applyAlignment="1">
      <alignment horizontal="center"/>
    </xf>
    <xf numFmtId="0" fontId="0" fillId="0" borderId="0" xfId="0" applyFont="1" applyAlignme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49" fontId="15" fillId="0" borderId="0" xfId="0" applyNumberFormat="1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7" fillId="0" borderId="0" xfId="0" applyFont="1"/>
    <xf numFmtId="0" fontId="17" fillId="0" borderId="0" xfId="0" applyFont="1" applyAlignment="1">
      <alignment wrapText="1"/>
    </xf>
    <xf numFmtId="49" fontId="9" fillId="0" borderId="0" xfId="0" applyNumberFormat="1" applyFont="1" applyAlignment="1">
      <alignment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21" xfId="0" applyFont="1" applyBorder="1"/>
    <xf numFmtId="0" fontId="11" fillId="7" borderId="7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3" fillId="0" borderId="15" xfId="0" applyFont="1" applyBorder="1"/>
    <xf numFmtId="0" fontId="3" fillId="0" borderId="22" xfId="0" applyFont="1" applyBorder="1"/>
    <xf numFmtId="0" fontId="9" fillId="3" borderId="13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14" fillId="8" borderId="13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49" fontId="9" fillId="3" borderId="13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G6" workbookViewId="0">
      <selection activeCell="I7" sqref="I7"/>
    </sheetView>
  </sheetViews>
  <sheetFormatPr baseColWidth="10" defaultColWidth="12.6640625" defaultRowHeight="15" customHeight="1" x14ac:dyDescent="0.3"/>
  <cols>
    <col min="1" max="1" width="4.6640625" customWidth="1"/>
    <col min="2" max="2" width="10.5" customWidth="1"/>
    <col min="3" max="3" width="25.1640625" customWidth="1"/>
    <col min="4" max="4" width="31.1640625" customWidth="1"/>
    <col min="5" max="5" width="20.6640625" customWidth="1"/>
    <col min="6" max="6" width="13.1640625" customWidth="1"/>
    <col min="7" max="7" width="39.6640625" customWidth="1"/>
    <col min="8" max="12" width="10.6640625" customWidth="1"/>
    <col min="13" max="13" width="32.6640625" customWidth="1"/>
    <col min="14" max="15" width="20.6640625" customWidth="1"/>
    <col min="16" max="26" width="9.414062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51" t="s">
        <v>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 x14ac:dyDescent="0.3">
      <c r="A6" s="5"/>
      <c r="B6" s="6" t="s">
        <v>15</v>
      </c>
      <c r="C6" s="6" t="s">
        <v>16</v>
      </c>
      <c r="D6" s="6" t="s">
        <v>118</v>
      </c>
      <c r="E6" s="6" t="s">
        <v>17</v>
      </c>
      <c r="F6" s="6" t="s">
        <v>18</v>
      </c>
      <c r="G6" s="6" t="s">
        <v>19</v>
      </c>
      <c r="H6" s="6" t="s">
        <v>20</v>
      </c>
      <c r="I6" s="6">
        <v>5</v>
      </c>
      <c r="J6" s="7">
        <v>46182</v>
      </c>
      <c r="K6" s="6" t="s">
        <v>21</v>
      </c>
      <c r="L6" s="6" t="s">
        <v>22</v>
      </c>
      <c r="M6" s="6" t="s">
        <v>23</v>
      </c>
      <c r="N6" s="6"/>
      <c r="O6" s="8" t="s">
        <v>24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87.5" x14ac:dyDescent="0.3">
      <c r="A7" s="5"/>
      <c r="B7" s="6" t="s">
        <v>25</v>
      </c>
      <c r="C7" s="6" t="s">
        <v>26</v>
      </c>
      <c r="D7" s="6" t="s">
        <v>119</v>
      </c>
      <c r="E7" s="6" t="s">
        <v>27</v>
      </c>
      <c r="F7" s="6" t="s">
        <v>28</v>
      </c>
      <c r="G7" s="6" t="s">
        <v>29</v>
      </c>
      <c r="H7" s="6" t="s">
        <v>20</v>
      </c>
      <c r="I7" s="6">
        <v>8</v>
      </c>
      <c r="J7" s="7">
        <v>46182</v>
      </c>
      <c r="K7" s="6" t="s">
        <v>21</v>
      </c>
      <c r="L7" s="6" t="s">
        <v>22</v>
      </c>
      <c r="M7" s="6" t="s">
        <v>30</v>
      </c>
      <c r="N7" s="6"/>
      <c r="O7" s="8" t="s">
        <v>31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5" x14ac:dyDescent="0.3">
      <c r="A8" s="5"/>
      <c r="B8" s="6" t="s">
        <v>32</v>
      </c>
      <c r="C8" s="10" t="s">
        <v>33</v>
      </c>
      <c r="D8" s="10" t="s">
        <v>120</v>
      </c>
      <c r="E8" s="10" t="s">
        <v>34</v>
      </c>
      <c r="F8" s="10" t="s">
        <v>18</v>
      </c>
      <c r="G8" s="10" t="s">
        <v>35</v>
      </c>
      <c r="H8" s="10" t="s">
        <v>36</v>
      </c>
      <c r="I8" s="10">
        <v>4</v>
      </c>
      <c r="J8" s="7">
        <v>46182</v>
      </c>
      <c r="K8" s="6" t="s">
        <v>37</v>
      </c>
      <c r="L8" s="6" t="s">
        <v>22</v>
      </c>
      <c r="M8" s="10" t="s">
        <v>38</v>
      </c>
      <c r="N8" s="10"/>
      <c r="O8" s="11" t="s">
        <v>39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5" x14ac:dyDescent="0.3">
      <c r="A9" s="5"/>
      <c r="B9" s="6" t="s">
        <v>40</v>
      </c>
      <c r="C9" s="8" t="s">
        <v>41</v>
      </c>
      <c r="D9" s="8" t="s">
        <v>121</v>
      </c>
      <c r="E9" s="8" t="s">
        <v>42</v>
      </c>
      <c r="F9" s="8" t="s">
        <v>43</v>
      </c>
      <c r="G9" s="8" t="s">
        <v>44</v>
      </c>
      <c r="H9" s="8" t="s">
        <v>45</v>
      </c>
      <c r="I9" s="8">
        <v>4</v>
      </c>
      <c r="J9" s="7">
        <v>46182</v>
      </c>
      <c r="K9" s="6" t="s">
        <v>21</v>
      </c>
      <c r="L9" s="6" t="s">
        <v>22</v>
      </c>
      <c r="M9" s="8" t="s">
        <v>46</v>
      </c>
      <c r="N9" s="8"/>
      <c r="O9" s="8" t="s">
        <v>47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87.5" x14ac:dyDescent="0.3">
      <c r="A10" s="5"/>
      <c r="B10" s="6" t="s">
        <v>48</v>
      </c>
      <c r="C10" s="6" t="s">
        <v>49</v>
      </c>
      <c r="D10" s="6" t="s">
        <v>122</v>
      </c>
      <c r="E10" s="6" t="s">
        <v>50</v>
      </c>
      <c r="F10" s="6" t="s">
        <v>43</v>
      </c>
      <c r="G10" s="6" t="s">
        <v>51</v>
      </c>
      <c r="H10" s="6" t="s">
        <v>36</v>
      </c>
      <c r="I10" s="6">
        <v>6</v>
      </c>
      <c r="J10" s="7">
        <v>46182</v>
      </c>
      <c r="K10" s="6" t="s">
        <v>37</v>
      </c>
      <c r="L10" s="6" t="s">
        <v>22</v>
      </c>
      <c r="M10" s="6" t="s">
        <v>52</v>
      </c>
      <c r="N10" s="6"/>
      <c r="O10" s="8" t="s">
        <v>53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87.5" x14ac:dyDescent="0.3">
      <c r="A11" s="5"/>
      <c r="B11" s="6" t="s">
        <v>54</v>
      </c>
      <c r="C11" s="6" t="s">
        <v>55</v>
      </c>
      <c r="D11" s="6" t="s">
        <v>123</v>
      </c>
      <c r="E11" s="6" t="s">
        <v>56</v>
      </c>
      <c r="F11" s="6" t="s">
        <v>57</v>
      </c>
      <c r="G11" s="6" t="s">
        <v>58</v>
      </c>
      <c r="H11" s="6" t="s">
        <v>20</v>
      </c>
      <c r="I11" s="6">
        <v>8</v>
      </c>
      <c r="J11" s="7">
        <v>46182</v>
      </c>
      <c r="K11" s="6" t="s">
        <v>21</v>
      </c>
      <c r="L11" s="6" t="s">
        <v>22</v>
      </c>
      <c r="M11" s="6" t="s">
        <v>59</v>
      </c>
      <c r="N11" s="6"/>
      <c r="O11" s="8" t="s">
        <v>60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87.5" x14ac:dyDescent="0.3">
      <c r="A12" s="5"/>
      <c r="B12" s="6" t="s">
        <v>61</v>
      </c>
      <c r="C12" s="6" t="s">
        <v>62</v>
      </c>
      <c r="D12" s="6" t="s">
        <v>124</v>
      </c>
      <c r="E12" s="6" t="s">
        <v>63</v>
      </c>
      <c r="F12" s="6" t="s">
        <v>57</v>
      </c>
      <c r="G12" s="6" t="s">
        <v>64</v>
      </c>
      <c r="H12" s="6" t="s">
        <v>20</v>
      </c>
      <c r="I12" s="6">
        <v>6</v>
      </c>
      <c r="J12" s="7">
        <v>46182</v>
      </c>
      <c r="K12" s="6" t="s">
        <v>21</v>
      </c>
      <c r="L12" s="6" t="s">
        <v>22</v>
      </c>
      <c r="M12" s="6" t="s">
        <v>65</v>
      </c>
      <c r="N12" s="6"/>
      <c r="O12" s="8" t="s">
        <v>66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87.5" x14ac:dyDescent="0.3">
      <c r="A13" s="5"/>
      <c r="B13" s="6" t="s">
        <v>67</v>
      </c>
      <c r="C13" s="6" t="s">
        <v>68</v>
      </c>
      <c r="D13" s="6" t="s">
        <v>125</v>
      </c>
      <c r="E13" s="6" t="s">
        <v>69</v>
      </c>
      <c r="F13" s="6" t="s">
        <v>28</v>
      </c>
      <c r="G13" s="6" t="s">
        <v>70</v>
      </c>
      <c r="H13" s="6" t="s">
        <v>20</v>
      </c>
      <c r="I13" s="6">
        <v>6</v>
      </c>
      <c r="J13" s="7">
        <v>46182</v>
      </c>
      <c r="K13" s="6" t="s">
        <v>21</v>
      </c>
      <c r="L13" s="6" t="s">
        <v>22</v>
      </c>
      <c r="M13" s="6" t="s">
        <v>71</v>
      </c>
      <c r="N13" s="6"/>
      <c r="O13" s="8" t="s">
        <v>72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87.5" x14ac:dyDescent="0.3">
      <c r="A14" s="5"/>
      <c r="B14" s="6" t="s">
        <v>73</v>
      </c>
      <c r="C14" s="6" t="s">
        <v>74</v>
      </c>
      <c r="D14" s="6" t="s">
        <v>126</v>
      </c>
      <c r="E14" s="6" t="s">
        <v>75</v>
      </c>
      <c r="F14" s="6" t="s">
        <v>76</v>
      </c>
      <c r="G14" s="6" t="s">
        <v>77</v>
      </c>
      <c r="H14" s="6" t="s">
        <v>20</v>
      </c>
      <c r="I14" s="6">
        <v>6</v>
      </c>
      <c r="J14" s="7">
        <v>46182</v>
      </c>
      <c r="K14" s="6" t="s">
        <v>21</v>
      </c>
      <c r="L14" s="6" t="s">
        <v>22</v>
      </c>
      <c r="M14" s="6" t="s">
        <v>78</v>
      </c>
      <c r="N14" s="6"/>
      <c r="O14" s="8" t="s">
        <v>79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5" x14ac:dyDescent="0.3">
      <c r="A15" s="5"/>
      <c r="B15" s="6" t="s">
        <v>80</v>
      </c>
      <c r="C15" s="6" t="s">
        <v>81</v>
      </c>
      <c r="D15" s="6" t="s">
        <v>127</v>
      </c>
      <c r="E15" s="6" t="s">
        <v>82</v>
      </c>
      <c r="F15" s="6" t="s">
        <v>76</v>
      </c>
      <c r="G15" s="6" t="s">
        <v>83</v>
      </c>
      <c r="H15" s="6" t="s">
        <v>45</v>
      </c>
      <c r="I15" s="6">
        <v>5</v>
      </c>
      <c r="J15" s="7">
        <v>46182</v>
      </c>
      <c r="K15" s="6" t="s">
        <v>37</v>
      </c>
      <c r="L15" s="6" t="s">
        <v>22</v>
      </c>
      <c r="M15" s="6" t="s">
        <v>84</v>
      </c>
      <c r="N15" s="6"/>
      <c r="O15" s="8" t="s">
        <v>85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7.5" x14ac:dyDescent="0.3">
      <c r="A16" s="5"/>
      <c r="B16" s="6" t="s">
        <v>86</v>
      </c>
      <c r="C16" s="6" t="s">
        <v>87</v>
      </c>
      <c r="D16" s="6" t="s">
        <v>128</v>
      </c>
      <c r="E16" s="6" t="s">
        <v>88</v>
      </c>
      <c r="F16" s="6" t="s">
        <v>89</v>
      </c>
      <c r="G16" s="6" t="s">
        <v>90</v>
      </c>
      <c r="H16" s="6" t="s">
        <v>36</v>
      </c>
      <c r="I16" s="6">
        <v>8</v>
      </c>
      <c r="J16" s="7">
        <v>46182</v>
      </c>
      <c r="K16" s="6" t="s">
        <v>21</v>
      </c>
      <c r="L16" s="6" t="s">
        <v>22</v>
      </c>
      <c r="M16" s="6" t="s">
        <v>91</v>
      </c>
      <c r="N16" s="6"/>
      <c r="O16" s="12" t="s">
        <v>92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87.5" x14ac:dyDescent="0.3">
      <c r="A17" s="5"/>
      <c r="B17" s="6" t="s">
        <v>93</v>
      </c>
      <c r="C17" s="6" t="s">
        <v>94</v>
      </c>
      <c r="D17" s="6" t="s">
        <v>129</v>
      </c>
      <c r="E17" s="6" t="s">
        <v>95</v>
      </c>
      <c r="F17" s="6" t="s">
        <v>28</v>
      </c>
      <c r="G17" s="6" t="s">
        <v>96</v>
      </c>
      <c r="H17" s="6" t="s">
        <v>36</v>
      </c>
      <c r="I17" s="6">
        <v>8</v>
      </c>
      <c r="J17" s="7">
        <v>46182</v>
      </c>
      <c r="K17" s="6" t="s">
        <v>37</v>
      </c>
      <c r="L17" s="6" t="s">
        <v>22</v>
      </c>
      <c r="M17" s="6" t="s">
        <v>97</v>
      </c>
      <c r="N17" s="6"/>
      <c r="O17" s="8" t="s">
        <v>98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87.5" x14ac:dyDescent="0.3">
      <c r="A18" s="5"/>
      <c r="B18" s="6" t="s">
        <v>99</v>
      </c>
      <c r="C18" s="6" t="s">
        <v>100</v>
      </c>
      <c r="D18" s="6" t="s">
        <v>130</v>
      </c>
      <c r="E18" s="6" t="s">
        <v>101</v>
      </c>
      <c r="F18" s="6" t="s">
        <v>18</v>
      </c>
      <c r="G18" s="6" t="s">
        <v>102</v>
      </c>
      <c r="H18" s="6" t="s">
        <v>45</v>
      </c>
      <c r="I18" s="6">
        <v>8</v>
      </c>
      <c r="J18" s="7">
        <v>46182</v>
      </c>
      <c r="K18" s="6" t="s">
        <v>21</v>
      </c>
      <c r="L18" s="6" t="s">
        <v>22</v>
      </c>
      <c r="M18" s="6" t="s">
        <v>103</v>
      </c>
      <c r="N18" s="6"/>
      <c r="O18" s="8" t="s">
        <v>104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" x14ac:dyDescent="0.3">
      <c r="A19" s="5"/>
      <c r="B19" s="5"/>
      <c r="C19" s="5"/>
      <c r="D19" s="5"/>
      <c r="E19" s="5"/>
      <c r="F19" s="5"/>
      <c r="G19" s="5"/>
      <c r="H19" s="13"/>
      <c r="I19" s="14"/>
      <c r="J19" s="14"/>
      <c r="K19" s="15"/>
      <c r="L19" s="14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5"/>
      <c r="B20" s="5"/>
      <c r="C20" s="5"/>
      <c r="D20" s="5"/>
      <c r="E20" s="5"/>
      <c r="F20" s="5"/>
      <c r="G20" s="5"/>
      <c r="H20" s="5"/>
      <c r="I20" s="14"/>
      <c r="J20" s="14"/>
      <c r="K20" s="15"/>
      <c r="L20" s="14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3">
      <c r="A21" s="5"/>
      <c r="B21" s="5"/>
      <c r="C21" s="5"/>
      <c r="D21" s="5"/>
      <c r="E21" s="5"/>
      <c r="F21" s="5"/>
      <c r="G21" s="5"/>
      <c r="H21" s="5"/>
      <c r="I21" s="14"/>
      <c r="J21" s="14"/>
      <c r="K21" s="16"/>
      <c r="L21" s="14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">
      <c r="A22" s="5"/>
      <c r="B22" s="5"/>
      <c r="C22" s="5"/>
      <c r="D22" s="5"/>
      <c r="E22" s="5"/>
      <c r="F22" s="5"/>
      <c r="G22" s="5"/>
      <c r="H22" s="5"/>
      <c r="I22" s="14"/>
      <c r="J22" s="14"/>
      <c r="K22" s="16"/>
      <c r="L22" s="14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5"/>
      <c r="B23" s="5"/>
      <c r="C23" s="5"/>
      <c r="D23" s="5"/>
      <c r="E23" s="5"/>
      <c r="F23" s="5"/>
      <c r="G23" s="5"/>
      <c r="H23" s="5"/>
      <c r="I23" s="14"/>
      <c r="J23" s="14"/>
      <c r="K23" s="15"/>
      <c r="L23" s="14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5"/>
      <c r="B24" s="5"/>
      <c r="C24" s="5"/>
      <c r="D24" s="5"/>
      <c r="E24" s="5"/>
      <c r="F24" s="5"/>
      <c r="G24" s="5"/>
      <c r="H24" s="5"/>
      <c r="I24" s="14"/>
      <c r="J24" s="5"/>
      <c r="K24" s="5"/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5"/>
      <c r="B25" s="5"/>
      <c r="C25" s="5"/>
      <c r="D25" s="5"/>
      <c r="E25" s="5"/>
      <c r="F25" s="5"/>
      <c r="G25" s="5"/>
      <c r="H25" s="5"/>
      <c r="I25" s="14"/>
      <c r="J25" s="5"/>
      <c r="K25" s="5"/>
      <c r="L25" s="5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5"/>
      <c r="B26" s="5"/>
      <c r="C26" s="5"/>
      <c r="D26" s="5"/>
      <c r="E26" s="5"/>
      <c r="F26" s="5"/>
      <c r="G26" s="5"/>
      <c r="H26" s="5"/>
      <c r="I26" s="14"/>
      <c r="J26" s="5"/>
      <c r="K26" s="15" t="s">
        <v>21</v>
      </c>
      <c r="L26" s="15" t="s">
        <v>105</v>
      </c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5"/>
      <c r="B27" s="5"/>
      <c r="C27" s="5"/>
      <c r="D27" s="5"/>
      <c r="E27" s="5"/>
      <c r="F27" s="5"/>
      <c r="G27" s="5"/>
      <c r="H27" s="5"/>
      <c r="I27" s="14"/>
      <c r="J27" s="5"/>
      <c r="K27" s="15" t="s">
        <v>37</v>
      </c>
      <c r="L27" s="15" t="s">
        <v>22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5"/>
      <c r="B28" s="5"/>
      <c r="C28" s="5"/>
      <c r="D28" s="5"/>
      <c r="E28" s="5"/>
      <c r="F28" s="5"/>
      <c r="G28" s="5"/>
      <c r="H28" s="5"/>
      <c r="I28" s="14"/>
      <c r="J28" s="5"/>
      <c r="K28" s="15" t="s">
        <v>106</v>
      </c>
      <c r="L28" s="15" t="s">
        <v>107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5"/>
      <c r="B29" s="5"/>
      <c r="C29" s="5"/>
      <c r="D29" s="5"/>
      <c r="E29" s="5"/>
      <c r="F29" s="5"/>
      <c r="G29" s="5"/>
      <c r="H29" s="5"/>
      <c r="I29" s="14"/>
      <c r="J29" s="5"/>
      <c r="K29" s="15"/>
      <c r="L29" s="15" t="s">
        <v>108</v>
      </c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5"/>
      <c r="B30" s="5"/>
      <c r="C30" s="5"/>
      <c r="D30" s="5"/>
      <c r="E30" s="5"/>
      <c r="F30" s="5"/>
      <c r="G30" s="5"/>
      <c r="H30" s="5"/>
      <c r="I30" s="14"/>
      <c r="J30" s="5"/>
      <c r="K30" s="5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5"/>
      <c r="B31" s="5"/>
      <c r="C31" s="5"/>
      <c r="D31" s="5"/>
      <c r="E31" s="5"/>
      <c r="F31" s="5"/>
      <c r="G31" s="5"/>
      <c r="H31" s="5"/>
      <c r="I31" s="14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5"/>
      <c r="B32" s="5"/>
      <c r="C32" s="5"/>
      <c r="D32" s="5"/>
      <c r="E32" s="5"/>
      <c r="F32" s="5"/>
      <c r="G32" s="5"/>
      <c r="H32" s="5"/>
      <c r="I32" s="14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5"/>
      <c r="I33" s="14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5"/>
      <c r="I34" s="14"/>
      <c r="J34" s="14"/>
      <c r="K34" s="15"/>
      <c r="L34" s="14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5"/>
      <c r="I35" s="14"/>
      <c r="J35" s="14"/>
      <c r="K35" s="15"/>
      <c r="L35" s="14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5"/>
      <c r="I36" s="14"/>
      <c r="J36" s="14"/>
      <c r="K36" s="15"/>
      <c r="L36" s="14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5"/>
      <c r="I37" s="14"/>
      <c r="J37" s="14"/>
      <c r="K37" s="15"/>
      <c r="L37" s="14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5"/>
      <c r="I38" s="14"/>
      <c r="J38" s="14"/>
      <c r="K38" s="15"/>
      <c r="L38" s="14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14"/>
      <c r="J39" s="14"/>
      <c r="K39" s="15"/>
      <c r="L39" s="14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14"/>
      <c r="J40" s="14"/>
      <c r="K40" s="15"/>
      <c r="L40" s="14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14"/>
      <c r="J41" s="14"/>
      <c r="K41" s="15"/>
      <c r="L41" s="14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14"/>
      <c r="J42" s="14"/>
      <c r="K42" s="15"/>
      <c r="L42" s="14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14"/>
      <c r="J43" s="14"/>
      <c r="K43" s="15"/>
      <c r="L43" s="14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14"/>
      <c r="J44" s="14"/>
      <c r="K44" s="15"/>
      <c r="L44" s="14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14"/>
      <c r="J45" s="14"/>
      <c r="K45" s="15"/>
      <c r="L45" s="14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14"/>
      <c r="J46" s="14"/>
      <c r="K46" s="15"/>
      <c r="L46" s="14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14"/>
      <c r="J47" s="14"/>
      <c r="K47" s="15"/>
      <c r="L47" s="14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14"/>
      <c r="J48" s="14"/>
      <c r="K48" s="15"/>
      <c r="L48" s="14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14"/>
      <c r="J49" s="14"/>
      <c r="K49" s="15"/>
      <c r="L49" s="14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14"/>
      <c r="J50" s="14"/>
      <c r="K50" s="15"/>
      <c r="L50" s="14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14"/>
      <c r="J51" s="14"/>
      <c r="K51" s="15"/>
      <c r="L51" s="14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14"/>
      <c r="J52" s="14"/>
      <c r="K52" s="15"/>
      <c r="L52" s="14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14"/>
      <c r="J53" s="14"/>
      <c r="K53" s="15"/>
      <c r="L53" s="14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14"/>
      <c r="J54" s="14"/>
      <c r="K54" s="15"/>
      <c r="L54" s="14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14"/>
      <c r="J55" s="14"/>
      <c r="K55" s="15"/>
      <c r="L55" s="14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14"/>
      <c r="J56" s="14"/>
      <c r="K56" s="15"/>
      <c r="L56" s="14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14"/>
      <c r="J57" s="14"/>
      <c r="K57" s="15"/>
      <c r="L57" s="14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14"/>
      <c r="J58" s="14"/>
      <c r="K58" s="15"/>
      <c r="L58" s="14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14"/>
      <c r="J59" s="14"/>
      <c r="K59" s="15"/>
      <c r="L59" s="14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14"/>
      <c r="J60" s="14"/>
      <c r="K60" s="15"/>
      <c r="L60" s="14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14"/>
      <c r="J61" s="14"/>
      <c r="K61" s="15"/>
      <c r="L61" s="14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14"/>
      <c r="J62" s="14"/>
      <c r="K62" s="15"/>
      <c r="L62" s="14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14"/>
      <c r="J63" s="14"/>
      <c r="K63" s="15"/>
      <c r="L63" s="14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14"/>
      <c r="J64" s="14"/>
      <c r="K64" s="15"/>
      <c r="L64" s="14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14"/>
      <c r="J65" s="14"/>
      <c r="K65" s="15"/>
      <c r="L65" s="14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14"/>
      <c r="J66" s="14"/>
      <c r="K66" s="15"/>
      <c r="L66" s="14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14"/>
      <c r="J67" s="14"/>
      <c r="K67" s="15"/>
      <c r="L67" s="14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14"/>
      <c r="J68" s="14"/>
      <c r="K68" s="15"/>
      <c r="L68" s="14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14"/>
      <c r="J69" s="14"/>
      <c r="K69" s="15"/>
      <c r="L69" s="14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14"/>
      <c r="J70" s="14"/>
      <c r="K70" s="15"/>
      <c r="L70" s="14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14"/>
      <c r="J71" s="14"/>
      <c r="K71" s="15"/>
      <c r="L71" s="14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14"/>
      <c r="J72" s="14"/>
      <c r="K72" s="15"/>
      <c r="L72" s="14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14"/>
      <c r="J73" s="14"/>
      <c r="K73" s="15"/>
      <c r="L73" s="14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14"/>
      <c r="J74" s="14"/>
      <c r="K74" s="15"/>
      <c r="L74" s="14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14"/>
      <c r="J75" s="14"/>
      <c r="K75" s="15"/>
      <c r="L75" s="14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14"/>
      <c r="J76" s="14"/>
      <c r="K76" s="15"/>
      <c r="L76" s="14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14"/>
      <c r="J77" s="14"/>
      <c r="K77" s="15"/>
      <c r="L77" s="14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14"/>
      <c r="J78" s="14"/>
      <c r="K78" s="15"/>
      <c r="L78" s="14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14"/>
      <c r="J79" s="14"/>
      <c r="K79" s="15"/>
      <c r="L79" s="14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14"/>
      <c r="J80" s="14"/>
      <c r="K80" s="15"/>
      <c r="L80" s="14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14"/>
      <c r="J81" s="14"/>
      <c r="K81" s="15"/>
      <c r="L81" s="14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14"/>
      <c r="J82" s="14"/>
      <c r="K82" s="15"/>
      <c r="L82" s="14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14"/>
      <c r="J83" s="14"/>
      <c r="K83" s="15"/>
      <c r="L83" s="14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14"/>
      <c r="J84" s="14"/>
      <c r="K84" s="15"/>
      <c r="L84" s="14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14"/>
      <c r="J85" s="14"/>
      <c r="K85" s="15"/>
      <c r="L85" s="14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14"/>
      <c r="J86" s="14"/>
      <c r="K86" s="15"/>
      <c r="L86" s="14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14"/>
      <c r="J87" s="14"/>
      <c r="K87" s="15"/>
      <c r="L87" s="14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14"/>
      <c r="J88" s="14"/>
      <c r="K88" s="15"/>
      <c r="L88" s="14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14"/>
      <c r="J89" s="14"/>
      <c r="K89" s="15"/>
      <c r="L89" s="14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14"/>
      <c r="J90" s="14"/>
      <c r="K90" s="15"/>
      <c r="L90" s="14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14"/>
      <c r="J91" s="14"/>
      <c r="K91" s="15"/>
      <c r="L91" s="14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14"/>
      <c r="J92" s="14"/>
      <c r="K92" s="15"/>
      <c r="L92" s="14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14"/>
      <c r="J93" s="14"/>
      <c r="K93" s="15"/>
      <c r="L93" s="14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14"/>
      <c r="J94" s="14"/>
      <c r="K94" s="15"/>
      <c r="L94" s="14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14"/>
      <c r="J95" s="14"/>
      <c r="K95" s="15"/>
      <c r="L95" s="14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14"/>
      <c r="J96" s="14"/>
      <c r="K96" s="15"/>
      <c r="L96" s="14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14"/>
      <c r="J97" s="14"/>
      <c r="K97" s="15"/>
      <c r="L97" s="14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14"/>
      <c r="J98" s="14"/>
      <c r="K98" s="15"/>
      <c r="L98" s="14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14"/>
      <c r="J99" s="14"/>
      <c r="K99" s="15"/>
      <c r="L99" s="14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14"/>
      <c r="J100" s="14"/>
      <c r="K100" s="15"/>
      <c r="L100" s="14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14"/>
      <c r="J101" s="14"/>
      <c r="K101" s="15"/>
      <c r="L101" s="14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14"/>
      <c r="J102" s="14"/>
      <c r="K102" s="15"/>
      <c r="L102" s="14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14"/>
      <c r="J103" s="14"/>
      <c r="K103" s="15"/>
      <c r="L103" s="14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14"/>
      <c r="J104" s="14"/>
      <c r="K104" s="15"/>
      <c r="L104" s="14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14"/>
      <c r="J105" s="14"/>
      <c r="K105" s="15"/>
      <c r="L105" s="14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14"/>
      <c r="J106" s="14"/>
      <c r="K106" s="15"/>
      <c r="L106" s="14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14"/>
      <c r="J107" s="14"/>
      <c r="K107" s="15"/>
      <c r="L107" s="14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14"/>
      <c r="J108" s="14"/>
      <c r="K108" s="15"/>
      <c r="L108" s="14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14"/>
      <c r="J109" s="14"/>
      <c r="K109" s="15"/>
      <c r="L109" s="14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14"/>
      <c r="J110" s="14"/>
      <c r="K110" s="15"/>
      <c r="L110" s="14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14"/>
      <c r="J111" s="14"/>
      <c r="K111" s="15"/>
      <c r="L111" s="14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14"/>
      <c r="J112" s="14"/>
      <c r="K112" s="15"/>
      <c r="L112" s="14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14"/>
      <c r="J113" s="14"/>
      <c r="K113" s="15"/>
      <c r="L113" s="14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14"/>
      <c r="J114" s="14"/>
      <c r="K114" s="15"/>
      <c r="L114" s="14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14"/>
      <c r="J115" s="14"/>
      <c r="K115" s="15"/>
      <c r="L115" s="14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14"/>
      <c r="J116" s="14"/>
      <c r="K116" s="15"/>
      <c r="L116" s="14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14"/>
      <c r="J117" s="14"/>
      <c r="K117" s="15"/>
      <c r="L117" s="14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14"/>
      <c r="J118" s="14"/>
      <c r="K118" s="15"/>
      <c r="L118" s="14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14"/>
      <c r="J119" s="14"/>
      <c r="K119" s="15"/>
      <c r="L119" s="14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14"/>
      <c r="J120" s="14"/>
      <c r="K120" s="15"/>
      <c r="L120" s="14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14"/>
      <c r="J121" s="14"/>
      <c r="K121" s="15"/>
      <c r="L121" s="14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14"/>
      <c r="J122" s="14"/>
      <c r="K122" s="15"/>
      <c r="L122" s="14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14"/>
      <c r="J123" s="14"/>
      <c r="K123" s="15"/>
      <c r="L123" s="14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14"/>
      <c r="J124" s="14"/>
      <c r="K124" s="15"/>
      <c r="L124" s="14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14"/>
      <c r="J125" s="14"/>
      <c r="K125" s="15"/>
      <c r="L125" s="14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14"/>
      <c r="J126" s="14"/>
      <c r="K126" s="15"/>
      <c r="L126" s="14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14"/>
      <c r="J127" s="14"/>
      <c r="K127" s="15"/>
      <c r="L127" s="14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14"/>
      <c r="J128" s="14"/>
      <c r="K128" s="15"/>
      <c r="L128" s="14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14"/>
      <c r="J129" s="14"/>
      <c r="K129" s="15"/>
      <c r="L129" s="14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14"/>
      <c r="J130" s="14"/>
      <c r="K130" s="15"/>
      <c r="L130" s="14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14"/>
      <c r="J131" s="14"/>
      <c r="K131" s="15"/>
      <c r="L131" s="14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14"/>
      <c r="J132" s="14"/>
      <c r="K132" s="15"/>
      <c r="L132" s="14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14"/>
      <c r="J133" s="14"/>
      <c r="K133" s="15"/>
      <c r="L133" s="14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14"/>
      <c r="J134" s="14"/>
      <c r="K134" s="15"/>
      <c r="L134" s="14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14"/>
      <c r="J135" s="14"/>
      <c r="K135" s="15"/>
      <c r="L135" s="14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14"/>
      <c r="J136" s="14"/>
      <c r="K136" s="15"/>
      <c r="L136" s="14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14"/>
      <c r="J137" s="14"/>
      <c r="K137" s="15"/>
      <c r="L137" s="14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14"/>
      <c r="J138" s="14"/>
      <c r="K138" s="15"/>
      <c r="L138" s="14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14"/>
      <c r="J139" s="14"/>
      <c r="K139" s="15"/>
      <c r="L139" s="14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14"/>
      <c r="J140" s="14"/>
      <c r="K140" s="15"/>
      <c r="L140" s="14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14"/>
      <c r="J141" s="14"/>
      <c r="K141" s="15"/>
      <c r="L141" s="14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14"/>
      <c r="J142" s="14"/>
      <c r="K142" s="15"/>
      <c r="L142" s="14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14"/>
      <c r="J143" s="14"/>
      <c r="K143" s="15"/>
      <c r="L143" s="14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14"/>
      <c r="J144" s="14"/>
      <c r="K144" s="15"/>
      <c r="L144" s="14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14"/>
      <c r="J145" s="14"/>
      <c r="K145" s="15"/>
      <c r="L145" s="14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14"/>
      <c r="J146" s="14"/>
      <c r="K146" s="15"/>
      <c r="L146" s="14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14"/>
      <c r="J147" s="14"/>
      <c r="K147" s="15"/>
      <c r="L147" s="14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14"/>
      <c r="J148" s="14"/>
      <c r="K148" s="15"/>
      <c r="L148" s="14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14"/>
      <c r="J149" s="14"/>
      <c r="K149" s="15"/>
      <c r="L149" s="14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14"/>
      <c r="J150" s="14"/>
      <c r="K150" s="15"/>
      <c r="L150" s="14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14"/>
      <c r="J151" s="14"/>
      <c r="K151" s="15"/>
      <c r="L151" s="14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14"/>
      <c r="J152" s="14"/>
      <c r="K152" s="15"/>
      <c r="L152" s="14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14"/>
      <c r="J153" s="14"/>
      <c r="K153" s="15"/>
      <c r="L153" s="14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14"/>
      <c r="J154" s="14"/>
      <c r="K154" s="15"/>
      <c r="L154" s="14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14"/>
      <c r="J155" s="14"/>
      <c r="K155" s="15"/>
      <c r="L155" s="14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14"/>
      <c r="J156" s="14"/>
      <c r="K156" s="15"/>
      <c r="L156" s="14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14"/>
      <c r="J157" s="14"/>
      <c r="K157" s="15"/>
      <c r="L157" s="14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14"/>
      <c r="J158" s="14"/>
      <c r="K158" s="15"/>
      <c r="L158" s="14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14"/>
      <c r="J159" s="14"/>
      <c r="K159" s="15"/>
      <c r="L159" s="14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14"/>
      <c r="J160" s="14"/>
      <c r="K160" s="15"/>
      <c r="L160" s="14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14"/>
      <c r="J161" s="14"/>
      <c r="K161" s="15"/>
      <c r="L161" s="14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14"/>
      <c r="J162" s="14"/>
      <c r="K162" s="15"/>
      <c r="L162" s="14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14"/>
      <c r="J163" s="14"/>
      <c r="K163" s="15"/>
      <c r="L163" s="14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14"/>
      <c r="J164" s="14"/>
      <c r="K164" s="15"/>
      <c r="L164" s="14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14"/>
      <c r="J165" s="14"/>
      <c r="K165" s="15"/>
      <c r="L165" s="14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14"/>
      <c r="J166" s="14"/>
      <c r="K166" s="15"/>
      <c r="L166" s="14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14"/>
      <c r="J167" s="14"/>
      <c r="K167" s="15"/>
      <c r="L167" s="14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14"/>
      <c r="J168" s="14"/>
      <c r="K168" s="15"/>
      <c r="L168" s="14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14"/>
      <c r="J169" s="14"/>
      <c r="K169" s="15"/>
      <c r="L169" s="14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14"/>
      <c r="J170" s="14"/>
      <c r="K170" s="15"/>
      <c r="L170" s="14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14"/>
      <c r="J171" s="14"/>
      <c r="K171" s="15"/>
      <c r="L171" s="14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14"/>
      <c r="J172" s="14"/>
      <c r="K172" s="15"/>
      <c r="L172" s="14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14"/>
      <c r="J173" s="14"/>
      <c r="K173" s="15"/>
      <c r="L173" s="14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14"/>
      <c r="J174" s="14"/>
      <c r="K174" s="15"/>
      <c r="L174" s="14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14"/>
      <c r="J175" s="14"/>
      <c r="K175" s="15"/>
      <c r="L175" s="14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14"/>
      <c r="J176" s="14"/>
      <c r="K176" s="15"/>
      <c r="L176" s="14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14"/>
      <c r="J177" s="14"/>
      <c r="K177" s="15"/>
      <c r="L177" s="14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14"/>
      <c r="J178" s="14"/>
      <c r="K178" s="15"/>
      <c r="L178" s="14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14"/>
      <c r="J179" s="14"/>
      <c r="K179" s="15"/>
      <c r="L179" s="14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14"/>
      <c r="J180" s="14"/>
      <c r="K180" s="15"/>
      <c r="L180" s="14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14"/>
      <c r="J181" s="14"/>
      <c r="K181" s="15"/>
      <c r="L181" s="14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14"/>
      <c r="J182" s="14"/>
      <c r="K182" s="15"/>
      <c r="L182" s="14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14"/>
      <c r="J183" s="14"/>
      <c r="K183" s="15"/>
      <c r="L183" s="14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14"/>
      <c r="J184" s="14"/>
      <c r="K184" s="15"/>
      <c r="L184" s="14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14"/>
      <c r="J185" s="14"/>
      <c r="K185" s="15"/>
      <c r="L185" s="14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14"/>
      <c r="J186" s="14"/>
      <c r="K186" s="15"/>
      <c r="L186" s="14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14"/>
      <c r="J187" s="14"/>
      <c r="K187" s="15"/>
      <c r="L187" s="14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14"/>
      <c r="J188" s="14"/>
      <c r="K188" s="15"/>
      <c r="L188" s="14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14"/>
      <c r="J189" s="14"/>
      <c r="K189" s="15"/>
      <c r="L189" s="14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14"/>
      <c r="J190" s="14"/>
      <c r="K190" s="15"/>
      <c r="L190" s="14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14"/>
      <c r="J191" s="14"/>
      <c r="K191" s="15"/>
      <c r="L191" s="14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14"/>
      <c r="J192" s="14"/>
      <c r="K192" s="15"/>
      <c r="L192" s="14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14"/>
      <c r="J193" s="14"/>
      <c r="K193" s="15"/>
      <c r="L193" s="14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14"/>
      <c r="J194" s="14"/>
      <c r="K194" s="15"/>
      <c r="L194" s="14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14"/>
      <c r="J195" s="14"/>
      <c r="K195" s="15"/>
      <c r="L195" s="14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14"/>
      <c r="J196" s="14"/>
      <c r="K196" s="15"/>
      <c r="L196" s="14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14"/>
      <c r="J197" s="14"/>
      <c r="K197" s="15"/>
      <c r="L197" s="14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14"/>
      <c r="J198" s="14"/>
      <c r="K198" s="15"/>
      <c r="L198" s="14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14"/>
      <c r="J199" s="14"/>
      <c r="K199" s="15"/>
      <c r="L199" s="14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14"/>
      <c r="J200" s="14"/>
      <c r="K200" s="15"/>
      <c r="L200" s="14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14"/>
      <c r="J201" s="14"/>
      <c r="K201" s="15"/>
      <c r="L201" s="14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14"/>
      <c r="J202" s="14"/>
      <c r="K202" s="15"/>
      <c r="L202" s="14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14"/>
      <c r="J203" s="14"/>
      <c r="K203" s="15"/>
      <c r="L203" s="14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14"/>
      <c r="J204" s="14"/>
      <c r="K204" s="15"/>
      <c r="L204" s="14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14"/>
      <c r="J205" s="14"/>
      <c r="K205" s="15"/>
      <c r="L205" s="14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14"/>
      <c r="J206" s="14"/>
      <c r="K206" s="15"/>
      <c r="L206" s="14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14"/>
      <c r="J207" s="14"/>
      <c r="K207" s="15"/>
      <c r="L207" s="14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14"/>
      <c r="J208" s="14"/>
      <c r="K208" s="15"/>
      <c r="L208" s="14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14"/>
      <c r="J209" s="14"/>
      <c r="K209" s="15"/>
      <c r="L209" s="14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14"/>
      <c r="J210" s="14"/>
      <c r="K210" s="15"/>
      <c r="L210" s="14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14"/>
      <c r="J211" s="14"/>
      <c r="K211" s="15"/>
      <c r="L211" s="14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14"/>
      <c r="J212" s="14"/>
      <c r="K212" s="15"/>
      <c r="L212" s="14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14"/>
      <c r="J213" s="14"/>
      <c r="K213" s="15"/>
      <c r="L213" s="14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14"/>
      <c r="J214" s="14"/>
      <c r="K214" s="15"/>
      <c r="L214" s="14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14"/>
      <c r="J215" s="14"/>
      <c r="K215" s="15"/>
      <c r="L215" s="14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14"/>
      <c r="J216" s="14"/>
      <c r="K216" s="15"/>
      <c r="L216" s="14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14"/>
      <c r="J217" s="14"/>
      <c r="K217" s="15"/>
      <c r="L217" s="14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14"/>
      <c r="J218" s="14"/>
      <c r="K218" s="15"/>
      <c r="L218" s="14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14"/>
      <c r="J219" s="14"/>
      <c r="K219" s="15"/>
      <c r="L219" s="14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14"/>
      <c r="J220" s="14"/>
      <c r="K220" s="15"/>
      <c r="L220" s="14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14"/>
      <c r="J221" s="14"/>
      <c r="K221" s="15"/>
      <c r="L221" s="14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14"/>
      <c r="J222" s="14"/>
      <c r="K222" s="15"/>
      <c r="L222" s="14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14"/>
      <c r="J223" s="14"/>
      <c r="K223" s="15"/>
      <c r="L223" s="14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14"/>
      <c r="J224" s="14"/>
      <c r="K224" s="15"/>
      <c r="L224" s="14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14"/>
      <c r="J225" s="14"/>
      <c r="K225" s="15"/>
      <c r="L225" s="14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14"/>
      <c r="J226" s="14"/>
      <c r="K226" s="15"/>
      <c r="L226" s="14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14"/>
      <c r="J227" s="14"/>
      <c r="K227" s="15"/>
      <c r="L227" s="14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14"/>
      <c r="J228" s="14"/>
      <c r="K228" s="15"/>
      <c r="L228" s="14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14"/>
      <c r="J229" s="14"/>
      <c r="K229" s="15"/>
      <c r="L229" s="14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">
    <mergeCell ref="B3:O3"/>
  </mergeCells>
  <conditionalFormatting sqref="L6:L18">
    <cfRule type="colorScale" priority="1">
      <colorScale>
        <cfvo type="min"/>
        <cfvo type="max"/>
        <color rgb="FF57BB8A"/>
        <color rgb="FFFFFFFF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dataValidations count="3">
    <dataValidation type="custom" allowBlank="1" showDropDown="1" sqref="J6:J18" xr:uid="{00000000-0002-0000-0000-000000000000}">
      <formula1>OR(NOT(ISERROR(DATEVALUE(J6))), AND(ISNUMBER(J6), LEFT(CELL("format", J6))="D"))</formula1>
    </dataValidation>
    <dataValidation type="list" allowBlank="1" showErrorMessage="1" sqref="L6:L18" xr:uid="{00000000-0002-0000-0000-000001000000}">
      <formula1>$L$26:$L$29</formula1>
    </dataValidation>
    <dataValidation type="list" allowBlank="1" showErrorMessage="1" sqref="K6:K18" xr:uid="{00000000-0002-0000-0000-000002000000}">
      <formula1>$K$26:$K$28</formula1>
    </dataValidation>
  </dataValidations>
  <printOptions horizontalCentered="1"/>
  <pageMargins left="0.31496062992125978" right="0.31496062992125978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/>
  </sheetViews>
  <sheetFormatPr baseColWidth="10" defaultColWidth="12.6640625" defaultRowHeight="15" customHeight="1" x14ac:dyDescent="0.3"/>
  <cols>
    <col min="1" max="1" width="9.4140625" customWidth="1"/>
    <col min="2" max="2" width="2.6640625" customWidth="1"/>
    <col min="3" max="3" width="10.6640625" customWidth="1"/>
    <col min="4" max="4" width="7.6640625" customWidth="1"/>
    <col min="5" max="5" width="24.9140625" customWidth="1"/>
    <col min="6" max="6" width="22.6640625" customWidth="1"/>
    <col min="7" max="14" width="10.6640625" customWidth="1"/>
    <col min="15" max="15" width="15.75" customWidth="1"/>
    <col min="16" max="16" width="2.6640625" customWidth="1"/>
    <col min="17" max="26" width="9.4140625" customWidth="1"/>
  </cols>
  <sheetData>
    <row r="1" spans="1:26" ht="14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hidden="1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hidden="1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4.25" hidden="1" customHeight="1" x14ac:dyDescent="0.35">
      <c r="A4" s="17"/>
      <c r="B4" s="17"/>
      <c r="C4" s="18"/>
      <c r="D4" s="18"/>
      <c r="E4" s="18"/>
      <c r="F4" s="19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4.25" hidden="1" customHeight="1" x14ac:dyDescent="0.35">
      <c r="A5" s="17"/>
      <c r="B5" s="17"/>
      <c r="C5" s="18"/>
      <c r="D5" s="18"/>
      <c r="E5" s="18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39.75" customHeight="1" x14ac:dyDescent="0.3">
      <c r="A6" s="17"/>
      <c r="B6" s="69" t="s">
        <v>109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3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9.75" customHeight="1" x14ac:dyDescent="0.3">
      <c r="A7" s="17"/>
      <c r="B7" s="17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9.75" customHeight="1" x14ac:dyDescent="0.35">
      <c r="A8" s="17"/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30" customHeight="1" x14ac:dyDescent="0.3">
      <c r="A9" s="17"/>
      <c r="B9" s="26"/>
      <c r="C9" s="27" t="s">
        <v>1</v>
      </c>
      <c r="D9" s="28"/>
      <c r="E9" s="70" t="s">
        <v>110</v>
      </c>
      <c r="F9" s="53"/>
      <c r="G9" s="28"/>
      <c r="H9" s="70" t="s">
        <v>11</v>
      </c>
      <c r="I9" s="53"/>
      <c r="J9" s="29"/>
      <c r="K9" s="29"/>
      <c r="L9" s="29"/>
      <c r="M9" s="29"/>
      <c r="N9" s="29"/>
      <c r="O9" s="29"/>
      <c r="P9" s="30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30" customHeight="1" x14ac:dyDescent="0.3">
      <c r="A10" s="17"/>
      <c r="B10" s="26"/>
      <c r="C10" s="31" t="s">
        <v>32</v>
      </c>
      <c r="D10" s="32"/>
      <c r="E10" s="71" t="str">
        <f>VLOOKUP(C10,'Formato descripción HU'!B5:O18,5,0)</f>
        <v>Usuario (Socio, Tesorero, Presidente, Secretario)</v>
      </c>
      <c r="F10" s="53"/>
      <c r="G10" s="33"/>
      <c r="H10" s="71" t="str">
        <f>VLOOKUP(C10,'Formato descripción HU'!B5:O18,11,0)</f>
        <v>En proceso</v>
      </c>
      <c r="I10" s="53"/>
      <c r="J10" s="33"/>
      <c r="K10" s="29"/>
      <c r="L10" s="29"/>
      <c r="M10" s="29"/>
      <c r="N10" s="29"/>
      <c r="O10" s="29"/>
      <c r="P10" s="30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9.75" customHeight="1" x14ac:dyDescent="0.3">
      <c r="A11" s="17"/>
      <c r="B11" s="26"/>
      <c r="C11" s="34"/>
      <c r="D11" s="32"/>
      <c r="E11" s="35"/>
      <c r="F11" s="35"/>
      <c r="G11" s="33"/>
      <c r="H11" s="35"/>
      <c r="I11" s="35"/>
      <c r="J11" s="33"/>
      <c r="K11" s="35"/>
      <c r="L11" s="35"/>
      <c r="M11" s="29"/>
      <c r="N11" s="35"/>
      <c r="O11" s="35"/>
      <c r="P11" s="30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30" customHeight="1" x14ac:dyDescent="0.3">
      <c r="A12" s="17"/>
      <c r="B12" s="26"/>
      <c r="C12" s="27" t="s">
        <v>111</v>
      </c>
      <c r="D12" s="32"/>
      <c r="E12" s="70" t="s">
        <v>10</v>
      </c>
      <c r="F12" s="53"/>
      <c r="G12" s="33"/>
      <c r="H12" s="70" t="s">
        <v>112</v>
      </c>
      <c r="I12" s="53"/>
      <c r="J12" s="33"/>
      <c r="K12" s="35"/>
      <c r="L12" s="35"/>
      <c r="M12" s="29"/>
      <c r="N12" s="35"/>
      <c r="O12" s="35"/>
      <c r="P12" s="30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30" customHeight="1" x14ac:dyDescent="0.3">
      <c r="A13" s="17"/>
      <c r="B13" s="26"/>
      <c r="C13" s="36">
        <f>VLOOKUP(C10,'Formato descripción HU'!B5:O18,8,0)</f>
        <v>4</v>
      </c>
      <c r="D13" s="32"/>
      <c r="E13" s="71" t="str">
        <f>VLOOKUP(C10,'Formato descripción HU'!B5:O18,10,0)</f>
        <v xml:space="preserve">Media </v>
      </c>
      <c r="F13" s="53"/>
      <c r="G13" s="33"/>
      <c r="H13" s="71" t="str">
        <f>VLOOKUP(C10,'Formato descripción HU'!B5:O18,7,0)</f>
        <v>Dylan Alvarado</v>
      </c>
      <c r="I13" s="53"/>
      <c r="J13" s="33"/>
      <c r="K13" s="35"/>
      <c r="L13" s="35"/>
      <c r="M13" s="29"/>
      <c r="N13" s="35"/>
      <c r="O13" s="35"/>
      <c r="P13" s="30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5" x14ac:dyDescent="0.3">
      <c r="A14" s="17"/>
      <c r="B14" s="26"/>
      <c r="C14" s="29"/>
      <c r="D14" s="32"/>
      <c r="E14" s="29"/>
      <c r="F14" s="29"/>
      <c r="G14" s="33"/>
      <c r="H14" s="33"/>
      <c r="I14" s="29"/>
      <c r="J14" s="29"/>
      <c r="K14" s="29"/>
      <c r="L14" s="29"/>
      <c r="M14" s="29"/>
      <c r="N14" s="29"/>
      <c r="O14" s="29"/>
      <c r="P14" s="30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" x14ac:dyDescent="0.3">
      <c r="A15" s="17"/>
      <c r="B15" s="26"/>
      <c r="C15" s="78" t="s">
        <v>113</v>
      </c>
      <c r="D15" s="72" t="str">
        <f>VLOOKUP(C10,'Formato descripción HU'!B5:O18,3,0)</f>
        <v>El sistema deberá mostrar una vista de calendario mensual con todos los eventos programados, con filtros y recordatorios personalizables.</v>
      </c>
      <c r="E15" s="73"/>
      <c r="F15" s="37"/>
      <c r="G15" s="78" t="s">
        <v>114</v>
      </c>
      <c r="H15" s="72" t="str">
        <f>VLOOKUP(C10,'Formato descripción HU'!B5:O18,4,0)</f>
        <v>Para que los usuarios puedan informarse sobre los eventos próximos, filtrarlos por tipo y configurar recordatorios personales.</v>
      </c>
      <c r="I15" s="81"/>
      <c r="J15" s="73"/>
      <c r="K15" s="37"/>
      <c r="L15" s="78" t="s">
        <v>115</v>
      </c>
      <c r="M15" s="83" t="str">
        <f>VLOOKUP(C10,'Formato descripción HU'!B5:O18,6,0)</f>
        <v>El usuario accede a la sección 'Calendario', visualiza los eventos del mes diferenciados por color (azul=social, verde=deportivo), selecciona un evento para ver su detalle, aplica filtros por tipo, navega entre meses y configura recordatorios de 15, 7 o 1 día antes del evento.</v>
      </c>
      <c r="N15" s="81"/>
      <c r="O15" s="73"/>
      <c r="P15" s="30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" x14ac:dyDescent="0.3">
      <c r="A16" s="17"/>
      <c r="B16" s="26"/>
      <c r="C16" s="79"/>
      <c r="D16" s="74"/>
      <c r="E16" s="75"/>
      <c r="F16" s="37"/>
      <c r="G16" s="79"/>
      <c r="H16" s="74"/>
      <c r="I16" s="55"/>
      <c r="J16" s="75"/>
      <c r="K16" s="37"/>
      <c r="L16" s="79"/>
      <c r="M16" s="74"/>
      <c r="N16" s="55"/>
      <c r="O16" s="75"/>
      <c r="P16" s="30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15.5" customHeight="1" x14ac:dyDescent="0.3">
      <c r="A17" s="17"/>
      <c r="B17" s="26"/>
      <c r="C17" s="80"/>
      <c r="D17" s="76"/>
      <c r="E17" s="77"/>
      <c r="F17" s="37"/>
      <c r="G17" s="80"/>
      <c r="H17" s="76"/>
      <c r="I17" s="82"/>
      <c r="J17" s="77"/>
      <c r="K17" s="37"/>
      <c r="L17" s="80"/>
      <c r="M17" s="76"/>
      <c r="N17" s="82"/>
      <c r="O17" s="77"/>
      <c r="P17" s="30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9.75" customHeight="1" x14ac:dyDescent="0.3">
      <c r="A18" s="17"/>
      <c r="B18" s="26"/>
      <c r="C18" s="29"/>
      <c r="D18" s="29"/>
      <c r="E18" s="29"/>
      <c r="F18" s="29"/>
      <c r="G18" s="33"/>
      <c r="H18" s="33"/>
      <c r="I18" s="33"/>
      <c r="J18" s="29"/>
      <c r="K18" s="29"/>
      <c r="L18" s="29"/>
      <c r="M18" s="29"/>
      <c r="N18" s="29"/>
      <c r="O18" s="29"/>
      <c r="P18" s="30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9.5" customHeight="1" x14ac:dyDescent="0.3">
      <c r="A19" s="17"/>
      <c r="B19" s="26"/>
      <c r="C19" s="90" t="s">
        <v>116</v>
      </c>
      <c r="D19" s="73"/>
      <c r="E19" s="84" t="str">
        <f>VLOOKUP(C10,'Formato descripción HU'!B5:O18,14,0)</f>
        <v>Consultar Calendario de Eventos</v>
      </c>
      <c r="F19" s="85"/>
      <c r="G19" s="85"/>
      <c r="H19" s="85"/>
      <c r="I19" s="85"/>
      <c r="J19" s="85"/>
      <c r="K19" s="85"/>
      <c r="L19" s="85"/>
      <c r="M19" s="85"/>
      <c r="N19" s="85"/>
      <c r="O19" s="86"/>
      <c r="P19" s="30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9.5" customHeight="1" x14ac:dyDescent="0.3">
      <c r="A20" s="17"/>
      <c r="B20" s="26"/>
      <c r="C20" s="76"/>
      <c r="D20" s="77"/>
      <c r="E20" s="87"/>
      <c r="F20" s="88"/>
      <c r="G20" s="88"/>
      <c r="H20" s="88"/>
      <c r="I20" s="88"/>
      <c r="J20" s="88"/>
      <c r="K20" s="88"/>
      <c r="L20" s="88"/>
      <c r="M20" s="88"/>
      <c r="N20" s="88"/>
      <c r="O20" s="89"/>
      <c r="P20" s="30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9.75" customHeight="1" x14ac:dyDescent="0.3">
      <c r="A21" s="17"/>
      <c r="B21" s="26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0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9.5" customHeight="1" x14ac:dyDescent="0.3">
      <c r="A22" s="17"/>
      <c r="B22" s="26"/>
      <c r="C22" s="91" t="s">
        <v>117</v>
      </c>
      <c r="D22" s="73"/>
      <c r="E22" s="92" t="str">
        <f>VLOOKUP(C10,'Formato descripción HU'!B5:O18,12,0)</f>
        <v>Verificar que el calendario muestra los eventos con colores correctos, que los filtros funcionan, que la navegación entre meses carga los eventos correspondientes y que los recordatorios se programan correctamente.</v>
      </c>
      <c r="F22" s="81"/>
      <c r="G22" s="81"/>
      <c r="H22" s="73"/>
      <c r="I22" s="29"/>
      <c r="J22" s="91" t="s">
        <v>13</v>
      </c>
      <c r="K22" s="73"/>
      <c r="L22" s="72">
        <f>VLOOKUP(C10,'Formato descripción HU'!B5:O18,13,0)</f>
        <v>0</v>
      </c>
      <c r="M22" s="81"/>
      <c r="N22" s="81"/>
      <c r="O22" s="73"/>
      <c r="P22" s="30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9.5" customHeight="1" x14ac:dyDescent="0.3">
      <c r="A23" s="17"/>
      <c r="B23" s="26"/>
      <c r="C23" s="74"/>
      <c r="D23" s="75"/>
      <c r="E23" s="74"/>
      <c r="F23" s="55"/>
      <c r="G23" s="55"/>
      <c r="H23" s="75"/>
      <c r="I23" s="29"/>
      <c r="J23" s="74"/>
      <c r="K23" s="75"/>
      <c r="L23" s="74"/>
      <c r="M23" s="55"/>
      <c r="N23" s="55"/>
      <c r="O23" s="75"/>
      <c r="P23" s="30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59.25" customHeight="1" x14ac:dyDescent="0.3">
      <c r="A24" s="17"/>
      <c r="B24" s="26"/>
      <c r="C24" s="76"/>
      <c r="D24" s="77"/>
      <c r="E24" s="76"/>
      <c r="F24" s="82"/>
      <c r="G24" s="82"/>
      <c r="H24" s="77"/>
      <c r="I24" s="29"/>
      <c r="J24" s="76"/>
      <c r="K24" s="77"/>
      <c r="L24" s="76"/>
      <c r="M24" s="82"/>
      <c r="N24" s="82"/>
      <c r="O24" s="77"/>
      <c r="P24" s="30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9.75" customHeight="1" x14ac:dyDescent="0.3">
      <c r="A25" s="17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9.5" customHeight="1" x14ac:dyDescent="0.35">
      <c r="A26" s="17"/>
      <c r="B26" s="17"/>
      <c r="C26" s="18"/>
      <c r="D26" s="18"/>
      <c r="E26" s="18"/>
      <c r="F26" s="19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1" customHeight="1" x14ac:dyDescent="0.3">
      <c r="A27" s="17"/>
      <c r="B27" s="93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9.5" customHeight="1" x14ac:dyDescent="0.3">
      <c r="A28" s="17"/>
      <c r="B28" s="17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9.5" customHeight="1" x14ac:dyDescent="0.35">
      <c r="A29" s="17"/>
      <c r="B29" s="17"/>
      <c r="C29" s="18"/>
      <c r="D29" s="18"/>
      <c r="E29" s="18"/>
      <c r="F29" s="19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9.5" customHeight="1" x14ac:dyDescent="0.3">
      <c r="A30" s="17"/>
      <c r="B30" s="17"/>
      <c r="C30" s="41"/>
      <c r="D30" s="42"/>
      <c r="E30" s="94"/>
      <c r="F30" s="55"/>
      <c r="G30" s="42"/>
      <c r="H30" s="94"/>
      <c r="I30" s="55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9.5" customHeight="1" x14ac:dyDescent="0.3">
      <c r="A31" s="17"/>
      <c r="B31" s="17"/>
      <c r="C31" s="41"/>
      <c r="D31" s="43"/>
      <c r="E31" s="94"/>
      <c r="F31" s="55"/>
      <c r="G31" s="44"/>
      <c r="H31" s="94"/>
      <c r="I31" s="55"/>
      <c r="J31" s="44"/>
      <c r="K31" s="45"/>
      <c r="L31" s="45"/>
      <c r="M31" s="17"/>
      <c r="N31" s="45"/>
      <c r="O31" s="45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9.5" customHeight="1" x14ac:dyDescent="0.3">
      <c r="A32" s="17"/>
      <c r="B32" s="17"/>
      <c r="C32" s="46"/>
      <c r="D32" s="43"/>
      <c r="E32" s="97"/>
      <c r="F32" s="55"/>
      <c r="G32" s="44"/>
      <c r="H32" s="97"/>
      <c r="I32" s="55"/>
      <c r="J32" s="44"/>
      <c r="K32" s="45"/>
      <c r="L32" s="45"/>
      <c r="M32" s="17"/>
      <c r="N32" s="45"/>
      <c r="O32" s="45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9.5" customHeight="1" x14ac:dyDescent="0.3">
      <c r="A33" s="17"/>
      <c r="B33" s="17"/>
      <c r="C33" s="17"/>
      <c r="D33" s="43"/>
      <c r="E33" s="17"/>
      <c r="F33" s="17"/>
      <c r="G33" s="44"/>
      <c r="H33" s="44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9.5" customHeight="1" x14ac:dyDescent="0.3">
      <c r="A34" s="17"/>
      <c r="B34" s="17"/>
      <c r="C34" s="94"/>
      <c r="D34" s="57"/>
      <c r="E34" s="55"/>
      <c r="F34" s="47"/>
      <c r="G34" s="94"/>
      <c r="H34" s="57"/>
      <c r="I34" s="55"/>
      <c r="J34" s="55"/>
      <c r="K34" s="47"/>
      <c r="L34" s="94"/>
      <c r="M34" s="95"/>
      <c r="N34" s="55"/>
      <c r="O34" s="55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9.5" customHeight="1" x14ac:dyDescent="0.3">
      <c r="A35" s="17"/>
      <c r="B35" s="17"/>
      <c r="C35" s="55"/>
      <c r="D35" s="55"/>
      <c r="E35" s="55"/>
      <c r="F35" s="47"/>
      <c r="G35" s="55"/>
      <c r="H35" s="55"/>
      <c r="I35" s="55"/>
      <c r="J35" s="55"/>
      <c r="K35" s="47"/>
      <c r="L35" s="55"/>
      <c r="M35" s="55"/>
      <c r="N35" s="55"/>
      <c r="O35" s="55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9.5" customHeight="1" x14ac:dyDescent="0.3">
      <c r="A36" s="17"/>
      <c r="B36" s="17"/>
      <c r="C36" s="55"/>
      <c r="D36" s="55"/>
      <c r="E36" s="55"/>
      <c r="F36" s="47"/>
      <c r="G36" s="55"/>
      <c r="H36" s="55"/>
      <c r="I36" s="55"/>
      <c r="J36" s="55"/>
      <c r="K36" s="47"/>
      <c r="L36" s="55"/>
      <c r="M36" s="55"/>
      <c r="N36" s="55"/>
      <c r="O36" s="55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9.5" customHeight="1" x14ac:dyDescent="0.3">
      <c r="A37" s="17"/>
      <c r="B37" s="17"/>
      <c r="C37" s="17"/>
      <c r="D37" s="17"/>
      <c r="E37" s="17"/>
      <c r="F37" s="17"/>
      <c r="G37" s="44"/>
      <c r="H37" s="44"/>
      <c r="I37" s="44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9.5" customHeight="1" x14ac:dyDescent="0.3">
      <c r="A38" s="17"/>
      <c r="B38" s="17"/>
      <c r="C38" s="98"/>
      <c r="D38" s="55"/>
      <c r="E38" s="96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9.5" customHeight="1" x14ac:dyDescent="0.3">
      <c r="A39" s="17"/>
      <c r="B39" s="17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9.5" customHeigh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9.5" customHeight="1" x14ac:dyDescent="0.3">
      <c r="A41" s="17"/>
      <c r="B41" s="17"/>
      <c r="C41" s="94"/>
      <c r="D41" s="55"/>
      <c r="E41" s="99"/>
      <c r="F41" s="55"/>
      <c r="G41" s="55"/>
      <c r="H41" s="55"/>
      <c r="I41" s="17"/>
      <c r="J41" s="94"/>
      <c r="K41" s="55"/>
      <c r="L41" s="57"/>
      <c r="M41" s="55"/>
      <c r="N41" s="55"/>
      <c r="O41" s="55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9.5" customHeight="1" x14ac:dyDescent="0.3">
      <c r="A42" s="17"/>
      <c r="B42" s="17"/>
      <c r="C42" s="55"/>
      <c r="D42" s="55"/>
      <c r="E42" s="55"/>
      <c r="F42" s="55"/>
      <c r="G42" s="55"/>
      <c r="H42" s="55"/>
      <c r="I42" s="17"/>
      <c r="J42" s="55"/>
      <c r="K42" s="55"/>
      <c r="L42" s="55"/>
      <c r="M42" s="55"/>
      <c r="N42" s="55"/>
      <c r="O42" s="55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9.5" customHeight="1" x14ac:dyDescent="0.3">
      <c r="A43" s="17"/>
      <c r="B43" s="17"/>
      <c r="C43" s="55"/>
      <c r="D43" s="55"/>
      <c r="E43" s="55"/>
      <c r="F43" s="55"/>
      <c r="G43" s="55"/>
      <c r="H43" s="55"/>
      <c r="I43" s="17"/>
      <c r="J43" s="55"/>
      <c r="K43" s="55"/>
      <c r="L43" s="55"/>
      <c r="M43" s="55"/>
      <c r="N43" s="55"/>
      <c r="O43" s="55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9.5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9.5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9.5" customHeight="1" x14ac:dyDescent="0.5">
      <c r="A46" s="17"/>
      <c r="B46" s="63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9.5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9.5" customHeigh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9.5" customHeight="1" x14ac:dyDescent="0.35">
      <c r="A49" s="17"/>
      <c r="B49" s="17"/>
      <c r="C49" s="48"/>
      <c r="D49" s="17"/>
      <c r="E49" s="54"/>
      <c r="F49" s="55"/>
      <c r="G49" s="17"/>
      <c r="H49" s="54"/>
      <c r="I49" s="55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9.5" customHeight="1" x14ac:dyDescent="0.35">
      <c r="A50" s="17"/>
      <c r="B50" s="17"/>
      <c r="C50" s="49"/>
      <c r="D50" s="17"/>
      <c r="E50" s="56"/>
      <c r="F50" s="55"/>
      <c r="G50" s="17"/>
      <c r="H50" s="97"/>
      <c r="I50" s="55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9.5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9.5" customHeight="1" x14ac:dyDescent="0.35">
      <c r="A52" s="17"/>
      <c r="B52" s="17"/>
      <c r="C52" s="48"/>
      <c r="D52" s="17"/>
      <c r="E52" s="54"/>
      <c r="F52" s="55"/>
      <c r="G52" s="17"/>
      <c r="H52" s="54"/>
      <c r="I52" s="55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35">
      <c r="A53" s="17"/>
      <c r="B53" s="17"/>
      <c r="C53" s="49"/>
      <c r="D53" s="17"/>
      <c r="E53" s="56"/>
      <c r="F53" s="55"/>
      <c r="G53" s="17"/>
      <c r="H53" s="56"/>
      <c r="I53" s="55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3">
      <c r="A55" s="17"/>
      <c r="B55" s="17"/>
      <c r="C55" s="54"/>
      <c r="D55" s="57"/>
      <c r="E55" s="55"/>
      <c r="F55" s="17"/>
      <c r="G55" s="54"/>
      <c r="H55" s="58"/>
      <c r="I55" s="55"/>
      <c r="J55" s="55"/>
      <c r="K55" s="17"/>
      <c r="L55" s="54"/>
      <c r="M55" s="59"/>
      <c r="N55" s="55"/>
      <c r="O55" s="55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3">
      <c r="A56" s="17"/>
      <c r="B56" s="17"/>
      <c r="C56" s="55"/>
      <c r="D56" s="55"/>
      <c r="E56" s="55"/>
      <c r="F56" s="17"/>
      <c r="G56" s="55"/>
      <c r="H56" s="55"/>
      <c r="I56" s="55"/>
      <c r="J56" s="55"/>
      <c r="K56" s="17"/>
      <c r="L56" s="55"/>
      <c r="M56" s="55"/>
      <c r="N56" s="55"/>
      <c r="O56" s="55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3">
      <c r="A57" s="17"/>
      <c r="B57" s="17"/>
      <c r="C57" s="55"/>
      <c r="D57" s="55"/>
      <c r="E57" s="55"/>
      <c r="F57" s="17"/>
      <c r="G57" s="55"/>
      <c r="H57" s="55"/>
      <c r="I57" s="55"/>
      <c r="J57" s="55"/>
      <c r="K57" s="17"/>
      <c r="L57" s="55"/>
      <c r="M57" s="55"/>
      <c r="N57" s="55"/>
      <c r="O57" s="55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3">
      <c r="A59" s="17"/>
      <c r="B59" s="17"/>
      <c r="C59" s="61"/>
      <c r="D59" s="55"/>
      <c r="E59" s="60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3">
      <c r="A60" s="17"/>
      <c r="B60" s="17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3">
      <c r="A62" s="17"/>
      <c r="B62" s="17"/>
      <c r="C62" s="54"/>
      <c r="D62" s="55"/>
      <c r="E62" s="64"/>
      <c r="F62" s="55"/>
      <c r="G62" s="55"/>
      <c r="H62" s="55"/>
      <c r="I62" s="17"/>
      <c r="J62" s="54"/>
      <c r="K62" s="55"/>
      <c r="L62" s="62"/>
      <c r="M62" s="55"/>
      <c r="N62" s="55"/>
      <c r="O62" s="55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3">
      <c r="A63" s="17"/>
      <c r="B63" s="17"/>
      <c r="C63" s="55"/>
      <c r="D63" s="55"/>
      <c r="E63" s="55"/>
      <c r="F63" s="55"/>
      <c r="G63" s="55"/>
      <c r="H63" s="55"/>
      <c r="I63" s="17"/>
      <c r="J63" s="55"/>
      <c r="K63" s="55"/>
      <c r="L63" s="55"/>
      <c r="M63" s="55"/>
      <c r="N63" s="55"/>
      <c r="O63" s="55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3">
      <c r="A64" s="17"/>
      <c r="B64" s="17"/>
      <c r="C64" s="55"/>
      <c r="D64" s="55"/>
      <c r="E64" s="55"/>
      <c r="F64" s="55"/>
      <c r="G64" s="55"/>
      <c r="H64" s="55"/>
      <c r="I64" s="17"/>
      <c r="J64" s="55"/>
      <c r="K64" s="55"/>
      <c r="L64" s="55"/>
      <c r="M64" s="55"/>
      <c r="N64" s="55"/>
      <c r="O64" s="55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9.75" customHeight="1" x14ac:dyDescent="0.5">
      <c r="A67" s="17"/>
      <c r="B67" s="63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7" customHeight="1" x14ac:dyDescent="0.5">
      <c r="A68" s="17"/>
      <c r="B68" s="63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35">
      <c r="A71" s="17"/>
      <c r="B71" s="17"/>
      <c r="C71" s="48"/>
      <c r="D71" s="17"/>
      <c r="E71" s="54"/>
      <c r="F71" s="55"/>
      <c r="G71" s="17"/>
      <c r="H71" s="54"/>
      <c r="I71" s="55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35">
      <c r="A72" s="17"/>
      <c r="B72" s="17"/>
      <c r="C72" s="48"/>
      <c r="D72" s="17"/>
      <c r="E72" s="54"/>
      <c r="F72" s="55"/>
      <c r="G72" s="17"/>
      <c r="H72" s="54"/>
      <c r="I72" s="55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35">
      <c r="A73" s="17"/>
      <c r="B73" s="17"/>
      <c r="C73" s="49"/>
      <c r="D73" s="17"/>
      <c r="E73" s="56"/>
      <c r="F73" s="55"/>
      <c r="G73" s="17"/>
      <c r="H73" s="56"/>
      <c r="I73" s="55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3">
      <c r="A75" s="17"/>
      <c r="B75" s="17"/>
      <c r="C75" s="54"/>
      <c r="D75" s="65"/>
      <c r="E75" s="55"/>
      <c r="F75" s="17"/>
      <c r="G75" s="54"/>
      <c r="H75" s="58"/>
      <c r="I75" s="55"/>
      <c r="J75" s="55"/>
      <c r="K75" s="17"/>
      <c r="L75" s="54"/>
      <c r="M75" s="59"/>
      <c r="N75" s="55"/>
      <c r="O75" s="55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3">
      <c r="A76" s="17"/>
      <c r="B76" s="17"/>
      <c r="C76" s="55"/>
      <c r="D76" s="55"/>
      <c r="E76" s="55"/>
      <c r="F76" s="17"/>
      <c r="G76" s="55"/>
      <c r="H76" s="55"/>
      <c r="I76" s="55"/>
      <c r="J76" s="55"/>
      <c r="K76" s="17"/>
      <c r="L76" s="55"/>
      <c r="M76" s="55"/>
      <c r="N76" s="55"/>
      <c r="O76" s="55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3">
      <c r="A77" s="17"/>
      <c r="B77" s="17"/>
      <c r="C77" s="55"/>
      <c r="D77" s="55"/>
      <c r="E77" s="55"/>
      <c r="F77" s="17"/>
      <c r="G77" s="55"/>
      <c r="H77" s="55"/>
      <c r="I77" s="55"/>
      <c r="J77" s="55"/>
      <c r="K77" s="17"/>
      <c r="L77" s="55"/>
      <c r="M77" s="55"/>
      <c r="N77" s="55"/>
      <c r="O77" s="55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3">
      <c r="A79" s="17"/>
      <c r="B79" s="17"/>
      <c r="C79" s="61"/>
      <c r="D79" s="55"/>
      <c r="E79" s="60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3">
      <c r="A80" s="17"/>
      <c r="B80" s="17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3">
      <c r="A82" s="17"/>
      <c r="B82" s="17"/>
      <c r="C82" s="54"/>
      <c r="D82" s="55"/>
      <c r="E82" s="64"/>
      <c r="F82" s="55"/>
      <c r="G82" s="55"/>
      <c r="H82" s="55"/>
      <c r="I82" s="17"/>
      <c r="J82" s="54"/>
      <c r="K82" s="55"/>
      <c r="L82" s="66"/>
      <c r="M82" s="55"/>
      <c r="N82" s="55"/>
      <c r="O82" s="55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3">
      <c r="A83" s="17"/>
      <c r="B83" s="17"/>
      <c r="C83" s="55"/>
      <c r="D83" s="55"/>
      <c r="E83" s="55"/>
      <c r="F83" s="55"/>
      <c r="G83" s="55"/>
      <c r="H83" s="55"/>
      <c r="I83" s="17"/>
      <c r="J83" s="55"/>
      <c r="K83" s="55"/>
      <c r="L83" s="55"/>
      <c r="M83" s="55"/>
      <c r="N83" s="55"/>
      <c r="O83" s="55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3">
      <c r="A84" s="17"/>
      <c r="B84" s="17"/>
      <c r="C84" s="55"/>
      <c r="D84" s="55"/>
      <c r="E84" s="55"/>
      <c r="F84" s="55"/>
      <c r="G84" s="55"/>
      <c r="H84" s="55"/>
      <c r="I84" s="17"/>
      <c r="J84" s="55"/>
      <c r="K84" s="55"/>
      <c r="L84" s="55"/>
      <c r="M84" s="55"/>
      <c r="N84" s="55"/>
      <c r="O84" s="55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1" customHeight="1" x14ac:dyDescent="0.5">
      <c r="A87" s="17"/>
      <c r="B87" s="63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35">
      <c r="A90" s="17"/>
      <c r="B90" s="17"/>
      <c r="C90" s="48"/>
      <c r="D90" s="17"/>
      <c r="E90" s="54"/>
      <c r="F90" s="55"/>
      <c r="G90" s="17"/>
      <c r="H90" s="54"/>
      <c r="I90" s="55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35">
      <c r="A91" s="17"/>
      <c r="B91" s="17"/>
      <c r="C91" s="49"/>
      <c r="D91" s="17"/>
      <c r="E91" s="56"/>
      <c r="F91" s="55"/>
      <c r="G91" s="17"/>
      <c r="H91" s="56"/>
      <c r="I91" s="55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3">
      <c r="A93" s="17"/>
      <c r="B93" s="17"/>
      <c r="C93" s="54"/>
      <c r="D93" s="58"/>
      <c r="E93" s="55"/>
      <c r="F93" s="17"/>
      <c r="G93" s="54"/>
      <c r="H93" s="58"/>
      <c r="I93" s="55"/>
      <c r="J93" s="55"/>
      <c r="K93" s="17"/>
      <c r="L93" s="54"/>
      <c r="M93" s="67"/>
      <c r="N93" s="55"/>
      <c r="O93" s="55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3">
      <c r="A94" s="17"/>
      <c r="B94" s="17"/>
      <c r="C94" s="55"/>
      <c r="D94" s="55"/>
      <c r="E94" s="55"/>
      <c r="F94" s="17"/>
      <c r="G94" s="55"/>
      <c r="H94" s="55"/>
      <c r="I94" s="55"/>
      <c r="J94" s="55"/>
      <c r="K94" s="17"/>
      <c r="L94" s="55"/>
      <c r="M94" s="55"/>
      <c r="N94" s="55"/>
      <c r="O94" s="55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3">
      <c r="A95" s="17"/>
      <c r="B95" s="17"/>
      <c r="C95" s="55"/>
      <c r="D95" s="55"/>
      <c r="E95" s="55"/>
      <c r="F95" s="17"/>
      <c r="G95" s="55"/>
      <c r="H95" s="55"/>
      <c r="I95" s="55"/>
      <c r="J95" s="55"/>
      <c r="K95" s="17"/>
      <c r="L95" s="55"/>
      <c r="M95" s="55"/>
      <c r="N95" s="55"/>
      <c r="O95" s="55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3">
      <c r="A97" s="17"/>
      <c r="B97" s="17"/>
      <c r="C97" s="61"/>
      <c r="D97" s="55"/>
      <c r="E97" s="60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3">
      <c r="A98" s="17"/>
      <c r="B98" s="17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3">
      <c r="A99" s="17"/>
      <c r="B99" s="17"/>
      <c r="C99" s="17"/>
      <c r="D99" s="17"/>
      <c r="E99" s="50"/>
      <c r="F99" s="50"/>
      <c r="G99" s="50"/>
      <c r="H99" s="50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3">
      <c r="A100" s="17"/>
      <c r="B100" s="17"/>
      <c r="C100" s="54"/>
      <c r="D100" s="55"/>
      <c r="E100" s="68"/>
      <c r="F100" s="55"/>
      <c r="G100" s="55"/>
      <c r="H100" s="55"/>
      <c r="I100" s="17"/>
      <c r="J100" s="54"/>
      <c r="K100" s="55"/>
      <c r="L100" s="66"/>
      <c r="M100" s="55"/>
      <c r="N100" s="55"/>
      <c r="O100" s="55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3">
      <c r="A101" s="17"/>
      <c r="B101" s="17"/>
      <c r="C101" s="55"/>
      <c r="D101" s="55"/>
      <c r="E101" s="55"/>
      <c r="F101" s="55"/>
      <c r="G101" s="55"/>
      <c r="H101" s="55"/>
      <c r="I101" s="17"/>
      <c r="J101" s="55"/>
      <c r="K101" s="55"/>
      <c r="L101" s="55"/>
      <c r="M101" s="55"/>
      <c r="N101" s="55"/>
      <c r="O101" s="55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3">
      <c r="A102" s="17"/>
      <c r="B102" s="17"/>
      <c r="C102" s="55"/>
      <c r="D102" s="55"/>
      <c r="E102" s="55"/>
      <c r="F102" s="55"/>
      <c r="G102" s="55"/>
      <c r="H102" s="55"/>
      <c r="I102" s="17"/>
      <c r="J102" s="55"/>
      <c r="K102" s="55"/>
      <c r="L102" s="55"/>
      <c r="M102" s="55"/>
      <c r="N102" s="55"/>
      <c r="O102" s="55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5">
      <c r="A105" s="17"/>
      <c r="B105" s="63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99">
    <mergeCell ref="E50:F50"/>
    <mergeCell ref="H50:I50"/>
    <mergeCell ref="E52:F52"/>
    <mergeCell ref="E53:F53"/>
    <mergeCell ref="J41:K4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H52:I52"/>
    <mergeCell ref="H53:I53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Cuzco</cp:lastModifiedBy>
  <dcterms:modified xsi:type="dcterms:W3CDTF">2026-06-16T00:29:49Z</dcterms:modified>
</cp:coreProperties>
</file>