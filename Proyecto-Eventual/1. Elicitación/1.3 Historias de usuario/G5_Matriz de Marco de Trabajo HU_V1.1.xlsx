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5"/>
    <sheet state="visible" name="Historia de Usuario" sheetId="2" r:id="rId6"/>
  </sheets>
  <definedNames/>
  <calcPr/>
</workbook>
</file>

<file path=xl/sharedStrings.xml><?xml version="1.0" encoding="utf-8"?>
<sst xmlns="http://schemas.openxmlformats.org/spreadsheetml/2006/main" count="179" uniqueCount="131">
  <si>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</si>
  <si>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</si>
  <si>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</si>
  <si>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</si>
  <si>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</si>
  <si>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</si>
  <si>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</si>
  <si>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</si>
  <si>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</si>
  <si>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</si>
  <si>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</si>
  <si>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</si>
  <si>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</si>
  <si>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</si>
  <si>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</si>
  <si>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</si>
  <si>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Los usuarios no pueden acceder al sistema de forma segura ni diferenciada por rol.</t>
  </si>
  <si>
    <t>El sistema debe permitir al usuario autenticarse con cédula y contraseña para acceder a las funcionalidades según su rol.</t>
  </si>
  <si>
    <t>Para garantizar que solo usuarios autorizados accedan al sistema y a las funcionalidades correspondientes a su rol.</t>
  </si>
  <si>
    <t>Usuario (Socio, Tesorero, Presidente, Secretario)</t>
  </si>
  <si>
    <t>El usuario ingresa su cédula y contraseña en la aplicación móvil. El sistema valida las credenciales, determina el rol (socio, tesorero, presidente o secretario) y redirige a la pantalla principal correspondiente. Si las credenciales son incorrectas, permite reintentar hasta 3 veces; tras 3 intentos fallidos, bloquea la cuenta por 15 minutos.</t>
  </si>
  <si>
    <t>Alex Cuzco</t>
  </si>
  <si>
    <t>Alta</t>
  </si>
  <si>
    <t>En proceso</t>
  </si>
  <si>
    <t>Verificar que un usuario con credenciales válidas accede correctamente según su rol. Confirmar que tras 3 intentos fallidos la cuenta se bloquea 15 minutos y se muestra el mensaje correspondiente.</t>
  </si>
  <si>
    <t>Acceso al Software</t>
  </si>
  <si>
    <t>REQ002</t>
  </si>
  <si>
    <t>El Presidente y Tesorero no tienen una forma de gestionar los miembros del club dentro del sistema.</t>
  </si>
  <si>
    <t>El sistema debe permitir al Presidente agregar nuevos socios, asignar roles, modificar datos personales y desactivar socios.</t>
  </si>
  <si>
    <t>Para administrar el registro completo de usuarios del sistema y mantener actualizada la información de los miembros del club.</t>
  </si>
  <si>
    <t>Presidente</t>
  </si>
  <si>
    <t>El Presidente accede a 'Gestionar Miembros' y puede: registrar nuevos socios ingresando sus datos personales (el sistema genera credenciales automáticas y las envía por WhatsApp), asignar o cambiar roles, modificar información de contacto, o desactivar socios bloqueando su acceso e invalidando su sesión activa.</t>
  </si>
  <si>
    <t>Verificar que el sistema genera y envía credenciales al registrar un socio, que los cambios de rol se aplican de inmediato, que la modificación de datos notifica al socio y que al desactivar un socio su sesión queda bloqueada.</t>
  </si>
  <si>
    <t>Gestionar Miembros</t>
  </si>
  <si>
    <t>REQ003</t>
  </si>
  <si>
    <t>Los usuarios no tienen forma de visualizar los eventos programados de manera organizada.</t>
  </si>
  <si>
    <t>El sistema debe mostrar una vista de calendario mensual con todos los eventos programados, con filtros y recordatorios personalizables.</t>
  </si>
  <si>
    <t>Para que los usuarios puedan informarse sobre los eventos próximos, filtrarlos por tipo y configurar recordatorios personales.</t>
  </si>
  <si>
    <t>El usuario accede a la sección 'Calendario', visualiza los eventos del mes diferenciados por color (azul=social, verde=deportivo), selecciona un evento para ver su detalle, aplica filtros por tipo, navega entre meses y configura recordatorios de 15, 7 o 1 día antes del evento.</t>
  </si>
  <si>
    <t>Dylan Alvarado</t>
  </si>
  <si>
    <t xml:space="preserve">Media </t>
  </si>
  <si>
    <t>Verificar que el calendario muestra los eventos con colores correctos, que los filtros funcionan, que la navegación entre meses carga los eventos correspondientes y que los recordatorios se programan correctamente.</t>
  </si>
  <si>
    <t>Consultar Calendario de Eventos</t>
  </si>
  <si>
    <t>REQ004</t>
  </si>
  <si>
    <t>Los socios no tienen un canal formal para proponer nuevos eventos al club.</t>
  </si>
  <si>
    <t>El sistema debe permitir al socio proponer eventos mediante un formulario digital con tipo, descripción, fecha sugerida y justificación.</t>
  </si>
  <si>
    <t>Para que cualquier socio pueda presentar ideas de eventos y el presidente pueda evaluarlas formalmente.</t>
  </si>
  <si>
    <t>Socio</t>
  </si>
  <si>
    <t>El socio accede a 'Proponer Evento', completa el formulario (tipo de evento, descripción mínimo 50 caracteres, fecha futura, motivo), envía la propuesta y el sistema la registra con estado 'Pendiente', genera un número de seguimiento PRO-YYYY-NNN y notifica al Presidente y Tesorero.</t>
  </si>
  <si>
    <t>Pablo Domínguez</t>
  </si>
  <si>
    <t>Verificar que el socio recibe el número de seguimiento al enviar la propuesta, que el sistema rechaza descripciones menores a 50 caracteres, fechas pasadas y campos vacíos, y que el Presidente y Tesorero reciben la notificación.</t>
  </si>
  <si>
    <t>Proponer Evento</t>
  </si>
  <si>
    <t>REQ005</t>
  </si>
  <si>
    <t>No existe un mecanismo para que los socios confirmen su asistencia y registren acompañantes.</t>
  </si>
  <si>
    <t>El sistema debe permitir al socio confirmar su asistencia a un evento e ingresar los datos de sus acompañantes.</t>
  </si>
  <si>
    <t>Para que el club pueda conocer con anticipación el número de participantes y gestionar el aforo del evento.</t>
  </si>
  <si>
    <t>El socio accede al evento desde el calendario o notificación, selecciona 'Confirmar Asistencia', indica si asistirá, ingresa el número de acompañantes (0-5) con sus datos (nombre, edad, relación) y comentarios opcionales. El sistema valida el cupo disponible y registra la confirmación con fecha y hora.</t>
  </si>
  <si>
    <t>Verificar que el sistema impide confirmar fuera del plazo de 15 días, que valida el límite de acompañantes, que actualiza el contador de participantes y que no permite confirmación si no hay cupo disponible.</t>
  </si>
  <si>
    <t>Confirmar Asistencia a Evento</t>
  </si>
  <si>
    <t>REQ006</t>
  </si>
  <si>
    <t>El tesorero no tiene una herramienta para documentar los gastos de cada evento de forma controlada.</t>
  </si>
  <si>
    <t>El sistema debe permitir al Tesorero registrar los gastos del evento con categoría, monto, comprobante y validación de presupuesto.</t>
  </si>
  <si>
    <t>Para controlar que los gastos no excedan el presupuesto asignado y mantener un registro financiero del evento.</t>
  </si>
  <si>
    <t>Tesorero</t>
  </si>
  <si>
    <t>El Tesorero accede a 'Registrar Gastos', selecciona el evento, completa el formulario (categoría, monto, fecha, método de pago, comprobante, descripción, responsable, proveedor opcional) y guarda. El sistema valida que no exceda el presupuesto, alerta al 90%, descuenta el monto de la cuenta del club y actualiza el balance.</t>
  </si>
  <si>
    <t>Verificar que el sistema bloquea el registro si el gasto excede el presupuesto total, que emite alerta al 90%, que el comprobante es obligatorio y que el balance del evento se actualiza correctamente tras cada registro.</t>
  </si>
  <si>
    <t>Registrar Gastos del Evento</t>
  </si>
  <si>
    <t>REQ007</t>
  </si>
  <si>
    <t>No existe un registro formal de los aportes económicos mensuales de los socios.</t>
  </si>
  <si>
    <t>El sistema debe permitir al Tesorero registrar y validar los aportes económicos mensuales de los socios.</t>
  </si>
  <si>
    <t>Para mantener actualizado el fondo común del club y el estado de cuenta de cada socio.</t>
  </si>
  <si>
    <t>El Tesorero accede a 'Registrar Aportes Económicos', busca al socio, selecciona el método de pago (efectivo o transferencia), ingresa monto, fecha y observaciones. Si es transferencia, carga el comprobante. El sistema valida el monto, aprueba o rechaza el aporte y actualiza el fondo común del club.</t>
  </si>
  <si>
    <t>Verificar que el sistema actualiza el fondo común al aprobar un aporte, que bloquea aportes duplicados del mismo socio en el mismo período y que notifica al socio al registrar el pago.</t>
  </si>
  <si>
    <t>Registrar Aportes Económicos</t>
  </si>
  <si>
    <t>REQ008</t>
  </si>
  <si>
    <t>El Presidente no tiene una herramienta para formalizar y registrar oficialmente un evento.</t>
  </si>
  <si>
    <t>El sistema debe permitir al Presidente registrar formalmente un evento previamente definido, cargando documentación y generando su código único.</t>
  </si>
  <si>
    <t>Para que el evento quede oficialmente registrado en el sistema y habilitado para su posterior difusión.</t>
  </si>
  <si>
    <t>El Presidente accede a 'Registrar Evento', selecciona un evento con estado 'Definido', revisa los datos, carga documentos de respaldo (PDF, jpg, png), confirma el registro. El sistema genera el código EVT-YYYY-NNN, programa notificaciones, cambia el estado a 'Registrado' y habilita la opción 'Difundir Evento'.</t>
  </si>
  <si>
    <t>Verificar que el sistema genera el código único EVT-YYYY-NNN, que rechaza documentos con formato o tamaño inválido, que el estado cambia a 'Registrado' y que la opción 'Difundir Evento' queda habilitada.</t>
  </si>
  <si>
    <t>Registrar Evento</t>
  </si>
  <si>
    <t>REQ009</t>
  </si>
  <si>
    <t>El Secretario no tiene un mecanismo para comunicar los eventos masivamente a los socios.</t>
  </si>
  <si>
    <t>El sistema debe permitir al Secretario configurar y ejecutar la difusión de información de un evento mediante canales de notificación.</t>
  </si>
  <si>
    <t>Para que todos los socios sean informados oportunamente sobre los eventos con al menos 15 días de anticipación.</t>
  </si>
  <si>
    <t>Secretario</t>
  </si>
  <si>
    <t>El Secretario accede a 'Difundir Evento', selecciona el evento registrado, personaliza el mensaje con la plantilla institucional, selecciona los canales (WhatsApp y/o app), define la fecha y hora de envío, configura recordatorios (15, 7 o 1 día antes) y confirma la difusión. El sistema registra los envíos y cambia el estado a 'Difundido'.</t>
  </si>
  <si>
    <t>Verificar que el sistema impide difundir sin seleccionar canal, que los recordatorios se programan correctamente, que el estado del evento cambia a 'Difundido' y que se registra el resultado del proceso de difusión.</t>
  </si>
  <si>
    <t>Difundir Información del Evento</t>
  </si>
  <si>
    <t>REQ010</t>
  </si>
  <si>
    <t>No existe un registro de proveedores de servicios disponibles para la planificación de eventos.</t>
  </si>
  <si>
    <t>El sistema debe permitir al Secretario registrar proveedores con sus datos de contacto, categoría, servicios y calificación.</t>
  </si>
  <si>
    <t>Para que la información de proveedores esté disponible durante la planificación y cotización de eventos.</t>
  </si>
  <si>
    <t>El Secretario accede a 'Registrar Proveedor', completa el formulario (nombre, categoría, teléfono, email, servicios ofrecidos, dirección, calificación inicial) y confirma el registro. El sistema valida los datos, guarda la información y la deja disponible para consulta en la planificación de eventos.</t>
  </si>
  <si>
    <t>Verificar que el sistema impide registrar un proveedor duplicado, que valida los campos de contacto obligatorios y que el proveedor queda disponible para consulta en el módulo de Definir Evento.</t>
  </si>
  <si>
    <t>Ingresar Proveedor</t>
  </si>
  <si>
    <t>REQ011</t>
  </si>
  <si>
    <t>El Presidente no tiene una herramienta para evaluar, aprobar o rechazar propuestas de eventos y programarlos formalmente.</t>
  </si>
  <si>
    <t>El sistema debe permitir al Presidente revisar propuestas de eventos, aprobarlas o rechazarlas y definir fecha, hora y ubicación del evento.</t>
  </si>
  <si>
    <t>Para formalizar la planificación del evento con todos sus parámetros antes de su organización y difusión.</t>
  </si>
  <si>
    <t>Presidente, Tesorero</t>
  </si>
  <si>
    <t>El Presidente accede a 'Eventos Listos para Programar', selecciona una propuesta pendiente, revisa la información del socio proponente, decide aprobar o rechazar. Si aprueba, define la ubicación, fecha y hora definitivas. El sistema verifica conflictos con otros eventos, registra la programación y cambia el estado a 'Definido'.</t>
  </si>
  <si>
    <t>Verificar que el sistema detecta conflictos de fecha con otros eventos, que al rechazar una propuesta no se genera ningún evento, que el estado cambia a 'Definido' al aprobar y que la fecha debe ser futura y válida.</t>
  </si>
  <si>
    <t>Definir Evento</t>
  </si>
  <si>
    <t>REQ012</t>
  </si>
  <si>
    <t>El Presidente no cuenta con una herramienta para registrar la asistencia real y cerrar formalmente el evento.</t>
  </si>
  <si>
    <t>El sistema debe permitir al Presidente registrar la asistencia de socios y acompañantes el día del evento y cerrarlo formalmente.</t>
  </si>
  <si>
    <t>Para obtener datos reales de participación y dejar el evento listo para la liquidación financiera.</t>
  </si>
  <si>
    <t>El Presidente accede a 'Ejecutar Evento', selecciona el evento activo y registra la asistencia escaneando el QR de cada participante o ingresando manualmente sus datos. Al finalizar, selecciona 'Cerrar Evento', el sistema consolida la lista de presentes, calcula la tasa de participación, bloquea la edición y habilita la liquidación financiera.</t>
  </si>
  <si>
    <t>Verificar que el sistema detecta QR inválidos o duplicados, que el cierre del evento es irreversible, que calcula correctamente la tasa de participación y que habilita el módulo de liquidación al cerrar.</t>
  </si>
  <si>
    <t>Ejecutar Evento</t>
  </si>
  <si>
    <t>REQ013</t>
  </si>
  <si>
    <t>Los usuarios no tienen acceso a reportes consolidados sobre participación, historial de eventos y liquidaciones.</t>
  </si>
  <si>
    <t>El sistema debe permitir a cualquier usuario generar reportes de participación de socios, historial de eventos y liquidaciones financieras.</t>
  </si>
  <si>
    <t>Para que los usuarios puedan consultar y exportar información consolidada del club para toma de decisiones y seguimiento.</t>
  </si>
  <si>
    <t>El usuario accede al módulo 'Generar Reportes', selecciona el tipo de reporte (Participación de Socios, Historial de Eventos o Liquidaciones), aplica filtros por fecha, tipo o estado, y genera el reporte. El sistema calcula tasas y totales, muestra la información en pantalla y permite exportarla a PDF o Excel.</t>
  </si>
  <si>
    <t>Verificar que los filtros funcionan correctamente, que el sistema muestra mensaje cuando no hay datos para los criterios seleccionados, que los cálculos de tasas y totales son correctos y que la exportación a PDF y Excel genera el archivo correctamente.</t>
  </si>
  <si>
    <t>Generar Reportes</t>
  </si>
  <si>
    <t>No iniciado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</si>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</sst>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8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"/>
    </font>
    <font>
      <sz val="11.0"/>
      <color rgb="FF000000"/>
      <name val="Arial Narrow"/>
    </font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  <font>
      <sz val="10.0"/>
      <color theme="1"/>
      <name val="Calibri"/>
    </font>
    <font>
      <b/>
      <sz val="11.0"/>
      <color rgb="FFFFFFFF"/>
      <name val="Calibri"/>
    </font>
    <font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5" fillId="3" fontId="1" numFmtId="0" xfId="0" applyBorder="1" applyFill="1" applyFont="1"/>
    <xf borderId="4" fillId="3" fontId="5" numFmtId="0" xfId="0" applyAlignment="1" applyBorder="1" applyFont="1">
      <alignment horizontal="center" shrinkToFit="0" vertical="center" wrapText="1"/>
    </xf>
    <xf borderId="4" fillId="3" fontId="5" numFmtId="164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4" fontId="1" numFmtId="0" xfId="0" applyBorder="1" applyFill="1" applyFont="1"/>
    <xf borderId="6" fillId="3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horizontal="left"/>
    </xf>
    <xf borderId="5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/>
    </xf>
    <xf borderId="5" fillId="3" fontId="6" numFmtId="0" xfId="0" applyAlignment="1" applyBorder="1" applyFont="1">
      <alignment horizontal="center"/>
    </xf>
    <xf borderId="0" fillId="0" fontId="7" numFmtId="0" xfId="0" applyFont="1"/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1" fillId="5" fontId="10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8" fillId="5" fontId="7" numFmtId="0" xfId="0" applyBorder="1" applyFont="1"/>
    <xf borderId="9" fillId="5" fontId="8" numFmtId="0" xfId="0" applyAlignment="1" applyBorder="1" applyFont="1">
      <alignment horizontal="left" shrinkToFit="0" vertical="center" wrapText="1"/>
    </xf>
    <xf borderId="9" fillId="5" fontId="9" numFmtId="0" xfId="0" applyBorder="1" applyFont="1"/>
    <xf borderId="9" fillId="5" fontId="7" numFmtId="0" xfId="0" applyBorder="1" applyFont="1"/>
    <xf borderId="10" fillId="5" fontId="7" numFmtId="0" xfId="0" applyBorder="1" applyFont="1"/>
    <xf borderId="11" fillId="5" fontId="7" numFmtId="0" xfId="0" applyBorder="1" applyFont="1"/>
    <xf borderId="4" fillId="6" fontId="11" numFmtId="0" xfId="0" applyAlignment="1" applyBorder="1" applyFill="1" applyFont="1">
      <alignment horizontal="center" vertical="center"/>
    </xf>
    <xf borderId="5" fillId="5" fontId="12" numFmtId="0" xfId="0" applyAlignment="1" applyBorder="1" applyFont="1">
      <alignment vertical="center"/>
    </xf>
    <xf borderId="1" fillId="6" fontId="11" numFmtId="0" xfId="0" applyAlignment="1" applyBorder="1" applyFont="1">
      <alignment horizontal="center" vertical="center"/>
    </xf>
    <xf borderId="5" fillId="5" fontId="7" numFmtId="0" xfId="0" applyBorder="1" applyFont="1"/>
    <xf borderId="12" fillId="5" fontId="7" numFmtId="0" xfId="0" applyBorder="1" applyFont="1"/>
    <xf borderId="4" fillId="3" fontId="13" numFmtId="0" xfId="0" applyAlignment="1" applyBorder="1" applyFont="1">
      <alignment horizontal="center" readingOrder="0" vertical="center"/>
    </xf>
    <xf borderId="5" fillId="5" fontId="9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vertical="center"/>
    </xf>
    <xf borderId="5" fillId="5" fontId="9" numFmtId="0" xfId="0" applyAlignment="1" applyBorder="1" applyFont="1">
      <alignment vertical="center"/>
    </xf>
    <xf borderId="5" fillId="5" fontId="13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center" vertical="center"/>
    </xf>
    <xf borderId="4" fillId="3" fontId="13" numFmtId="0" xfId="0" applyAlignment="1" applyBorder="1" applyFont="1">
      <alignment horizontal="center" vertical="center"/>
    </xf>
    <xf borderId="7" fillId="7" fontId="11" numFmtId="0" xfId="0" applyAlignment="1" applyBorder="1" applyFill="1" applyFont="1">
      <alignment horizontal="center" vertical="center"/>
    </xf>
    <xf borderId="13" fillId="3" fontId="9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5" fillId="5" fontId="7" numFmtId="0" xfId="0" applyAlignment="1" applyBorder="1" applyFont="1">
      <alignment horizontal="center"/>
    </xf>
    <xf borderId="15" fillId="0" fontId="3" numFmtId="0" xfId="0" applyBorder="1" applyFont="1"/>
    <xf borderId="13" fillId="3" fontId="9" numFmtId="0" xfId="0" applyAlignment="1" applyBorder="1" applyFont="1">
      <alignment horizontal="left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3" fillId="8" fontId="14" numFmtId="0" xfId="0" applyAlignment="1" applyBorder="1" applyFill="1" applyFont="1">
      <alignment horizontal="center" vertical="center"/>
    </xf>
    <xf borderId="23" fillId="2" fontId="13" numFmtId="0" xfId="0" applyAlignment="1" applyBorder="1" applyFont="1">
      <alignment horizontal="center" vertical="center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13" fillId="6" fontId="11" numFmtId="0" xfId="0" applyAlignment="1" applyBorder="1" applyFont="1">
      <alignment horizontal="center" vertical="center"/>
    </xf>
    <xf borderId="13" fillId="3" fontId="9" numFmtId="49" xfId="0" applyAlignment="1" applyBorder="1" applyFont="1" applyNumberFormat="1">
      <alignment horizontal="left" shrinkToFit="0" vertical="center" wrapText="1"/>
    </xf>
    <xf borderId="29" fillId="5" fontId="7" numFmtId="0" xfId="0" applyBorder="1" applyFont="1"/>
    <xf borderId="30" fillId="5" fontId="7" numFmtId="0" xfId="0" applyBorder="1" applyFont="1"/>
    <xf borderId="31" fillId="5" fontId="7" numFmtId="0" xfId="0" applyBorder="1" applyFont="1"/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15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center" vertical="center"/>
    </xf>
    <xf borderId="0" fillId="0" fontId="9" numFmtId="49" xfId="0" applyAlignment="1" applyFont="1" applyNumberFormat="1">
      <alignment horizontal="left" shrinkToFit="0" vertical="center" wrapText="1"/>
    </xf>
    <xf borderId="0" fillId="0" fontId="10" numFmtId="0" xfId="0" applyAlignment="1" applyFont="1">
      <alignment horizontal="center" shrinkToFit="0" wrapText="1"/>
    </xf>
    <xf borderId="0" fillId="0" fontId="16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shrinkToFit="0" wrapText="1"/>
    </xf>
    <xf borderId="0" fillId="0" fontId="14" numFmtId="0" xfId="0" applyAlignment="1" applyFont="1">
      <alignment horizontal="center"/>
    </xf>
    <xf borderId="0" fillId="0" fontId="15" numFmtId="49" xfId="0" applyAlignment="1" applyFont="1" applyNumberFormat="1">
      <alignment shrinkToFit="0" wrapText="1"/>
    </xf>
    <xf borderId="0" fillId="0" fontId="7" numFmtId="0" xfId="0" applyAlignment="1" applyFont="1">
      <alignment shrinkToFit="0" wrapText="1"/>
    </xf>
    <xf borderId="0" fillId="0" fontId="15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wrapText="1"/>
    </xf>
    <xf borderId="0" fillId="0" fontId="7" numFmtId="49" xfId="0" applyFont="1" applyNumberFormat="1"/>
    <xf borderId="0" fillId="0" fontId="9" numFmtId="49" xfId="0" applyAlignment="1" applyFont="1" applyNumberFormat="1">
      <alignment shrinkToFit="0" wrapText="1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10.5"/>
    <col customWidth="1" min="3" max="3" width="25.13"/>
    <col customWidth="1" min="4" max="4" width="31.13"/>
    <col customWidth="1" min="5" max="5" width="20.63"/>
    <col customWidth="1" min="6" max="6" width="13.13"/>
    <col customWidth="1" min="7" max="7" width="39.63"/>
    <col customWidth="1" min="8" max="12" width="10.63"/>
    <col customWidth="1" min="13" max="13" width="32.63"/>
    <col customWidth="1" min="14" max="15" width="20.63"/>
    <col customWidth="1" min="16" max="26" width="9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2.0" customHeight="1">
      <c r="A6" s="8"/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>
        <v>5.0</v>
      </c>
      <c r="J6" s="10">
        <v>46182.0</v>
      </c>
      <c r="K6" s="9" t="s">
        <v>22</v>
      </c>
      <c r="L6" s="9" t="s">
        <v>23</v>
      </c>
      <c r="M6" s="9" t="s">
        <v>24</v>
      </c>
      <c r="N6" s="9"/>
      <c r="O6" s="11" t="s">
        <v>25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8"/>
      <c r="B7" s="9" t="s">
        <v>26</v>
      </c>
      <c r="C7" s="9" t="s">
        <v>27</v>
      </c>
      <c r="D7" s="9" t="s">
        <v>28</v>
      </c>
      <c r="E7" s="9" t="s">
        <v>29</v>
      </c>
      <c r="F7" s="9" t="s">
        <v>30</v>
      </c>
      <c r="G7" s="9" t="s">
        <v>31</v>
      </c>
      <c r="H7" s="9" t="s">
        <v>21</v>
      </c>
      <c r="I7" s="9">
        <v>8.0</v>
      </c>
      <c r="J7" s="10">
        <v>46182.0</v>
      </c>
      <c r="K7" s="9" t="s">
        <v>22</v>
      </c>
      <c r="L7" s="9" t="s">
        <v>23</v>
      </c>
      <c r="M7" s="9" t="s">
        <v>32</v>
      </c>
      <c r="N7" s="9"/>
      <c r="O7" s="11" t="s">
        <v>33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"/>
      <c r="B8" s="9" t="s">
        <v>34</v>
      </c>
      <c r="C8" s="13" t="s">
        <v>35</v>
      </c>
      <c r="D8" s="13" t="s">
        <v>36</v>
      </c>
      <c r="E8" s="13" t="s">
        <v>37</v>
      </c>
      <c r="F8" s="13" t="s">
        <v>19</v>
      </c>
      <c r="G8" s="13" t="s">
        <v>38</v>
      </c>
      <c r="H8" s="13" t="s">
        <v>39</v>
      </c>
      <c r="I8" s="13">
        <v>4.0</v>
      </c>
      <c r="J8" s="10">
        <v>46182.0</v>
      </c>
      <c r="K8" s="9" t="s">
        <v>40</v>
      </c>
      <c r="L8" s="9" t="s">
        <v>23</v>
      </c>
      <c r="M8" s="13" t="s">
        <v>41</v>
      </c>
      <c r="N8" s="13"/>
      <c r="O8" s="14" t="s">
        <v>42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/>
      <c r="B9" s="9" t="s">
        <v>43</v>
      </c>
      <c r="C9" s="11" t="s">
        <v>44</v>
      </c>
      <c r="D9" s="11" t="s">
        <v>45</v>
      </c>
      <c r="E9" s="11" t="s">
        <v>46</v>
      </c>
      <c r="F9" s="11" t="s">
        <v>47</v>
      </c>
      <c r="G9" s="11" t="s">
        <v>48</v>
      </c>
      <c r="H9" s="11" t="s">
        <v>49</v>
      </c>
      <c r="I9" s="11">
        <v>4.0</v>
      </c>
      <c r="J9" s="10">
        <v>46182.0</v>
      </c>
      <c r="K9" s="9" t="s">
        <v>22</v>
      </c>
      <c r="L9" s="9" t="s">
        <v>23</v>
      </c>
      <c r="M9" s="11" t="s">
        <v>50</v>
      </c>
      <c r="N9" s="11"/>
      <c r="O9" s="11" t="s">
        <v>51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"/>
      <c r="B10" s="9" t="s">
        <v>52</v>
      </c>
      <c r="C10" s="9" t="s">
        <v>53</v>
      </c>
      <c r="D10" s="9" t="s">
        <v>54</v>
      </c>
      <c r="E10" s="9" t="s">
        <v>55</v>
      </c>
      <c r="F10" s="9" t="s">
        <v>47</v>
      </c>
      <c r="G10" s="9" t="s">
        <v>56</v>
      </c>
      <c r="H10" s="9" t="s">
        <v>39</v>
      </c>
      <c r="I10" s="9">
        <v>6.0</v>
      </c>
      <c r="J10" s="10">
        <v>46182.0</v>
      </c>
      <c r="K10" s="9" t="s">
        <v>40</v>
      </c>
      <c r="L10" s="9" t="s">
        <v>23</v>
      </c>
      <c r="M10" s="9" t="s">
        <v>57</v>
      </c>
      <c r="N10" s="9"/>
      <c r="O10" s="11" t="s">
        <v>58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"/>
      <c r="B11" s="9" t="s">
        <v>59</v>
      </c>
      <c r="C11" s="9" t="s">
        <v>60</v>
      </c>
      <c r="D11" s="9" t="s">
        <v>61</v>
      </c>
      <c r="E11" s="9" t="s">
        <v>62</v>
      </c>
      <c r="F11" s="9" t="s">
        <v>63</v>
      </c>
      <c r="G11" s="9" t="s">
        <v>64</v>
      </c>
      <c r="H11" s="9" t="s">
        <v>21</v>
      </c>
      <c r="I11" s="9">
        <v>8.0</v>
      </c>
      <c r="J11" s="10">
        <v>46182.0</v>
      </c>
      <c r="K11" s="9" t="s">
        <v>22</v>
      </c>
      <c r="L11" s="9" t="s">
        <v>23</v>
      </c>
      <c r="M11" s="9" t="s">
        <v>65</v>
      </c>
      <c r="N11" s="9"/>
      <c r="O11" s="11" t="s">
        <v>66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/>
      <c r="B12" s="9" t="s">
        <v>67</v>
      </c>
      <c r="C12" s="9" t="s">
        <v>68</v>
      </c>
      <c r="D12" s="9" t="s">
        <v>69</v>
      </c>
      <c r="E12" s="9" t="s">
        <v>70</v>
      </c>
      <c r="F12" s="9" t="s">
        <v>63</v>
      </c>
      <c r="G12" s="9" t="s">
        <v>71</v>
      </c>
      <c r="H12" s="9" t="s">
        <v>21</v>
      </c>
      <c r="I12" s="9">
        <v>6.0</v>
      </c>
      <c r="J12" s="10">
        <v>46182.0</v>
      </c>
      <c r="K12" s="9" t="s">
        <v>22</v>
      </c>
      <c r="L12" s="9" t="s">
        <v>23</v>
      </c>
      <c r="M12" s="9" t="s">
        <v>72</v>
      </c>
      <c r="N12" s="9"/>
      <c r="O12" s="11" t="s">
        <v>73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8"/>
      <c r="B13" s="9" t="s">
        <v>74</v>
      </c>
      <c r="C13" s="9" t="s">
        <v>75</v>
      </c>
      <c r="D13" s="9" t="s">
        <v>76</v>
      </c>
      <c r="E13" s="9" t="s">
        <v>77</v>
      </c>
      <c r="F13" s="9" t="s">
        <v>30</v>
      </c>
      <c r="G13" s="9" t="s">
        <v>78</v>
      </c>
      <c r="H13" s="9" t="s">
        <v>21</v>
      </c>
      <c r="I13" s="9">
        <v>6.0</v>
      </c>
      <c r="J13" s="10">
        <v>46182.0</v>
      </c>
      <c r="K13" s="9" t="s">
        <v>22</v>
      </c>
      <c r="L13" s="9" t="s">
        <v>23</v>
      </c>
      <c r="M13" s="9" t="s">
        <v>79</v>
      </c>
      <c r="N13" s="9"/>
      <c r="O13" s="11" t="s">
        <v>80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/>
      <c r="B14" s="9" t="s">
        <v>81</v>
      </c>
      <c r="C14" s="9" t="s">
        <v>82</v>
      </c>
      <c r="D14" s="9" t="s">
        <v>83</v>
      </c>
      <c r="E14" s="9" t="s">
        <v>84</v>
      </c>
      <c r="F14" s="9" t="s">
        <v>85</v>
      </c>
      <c r="G14" s="9" t="s">
        <v>86</v>
      </c>
      <c r="H14" s="9" t="s">
        <v>21</v>
      </c>
      <c r="I14" s="9">
        <v>6.0</v>
      </c>
      <c r="J14" s="10">
        <v>46182.0</v>
      </c>
      <c r="K14" s="9" t="s">
        <v>22</v>
      </c>
      <c r="L14" s="9" t="s">
        <v>23</v>
      </c>
      <c r="M14" s="9" t="s">
        <v>87</v>
      </c>
      <c r="N14" s="9"/>
      <c r="O14" s="11" t="s">
        <v>88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"/>
      <c r="B15" s="9" t="s">
        <v>89</v>
      </c>
      <c r="C15" s="9" t="s">
        <v>90</v>
      </c>
      <c r="D15" s="9" t="s">
        <v>91</v>
      </c>
      <c r="E15" s="9" t="s">
        <v>92</v>
      </c>
      <c r="F15" s="9" t="s">
        <v>85</v>
      </c>
      <c r="G15" s="9" t="s">
        <v>93</v>
      </c>
      <c r="H15" s="9" t="s">
        <v>49</v>
      </c>
      <c r="I15" s="9">
        <v>5.0</v>
      </c>
      <c r="J15" s="10">
        <v>46182.0</v>
      </c>
      <c r="K15" s="9" t="s">
        <v>40</v>
      </c>
      <c r="L15" s="9" t="s">
        <v>23</v>
      </c>
      <c r="M15" s="9" t="s">
        <v>94</v>
      </c>
      <c r="N15" s="9"/>
      <c r="O15" s="11" t="s">
        <v>95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"/>
      <c r="B16" s="9" t="s">
        <v>96</v>
      </c>
      <c r="C16" s="9" t="s">
        <v>97</v>
      </c>
      <c r="D16" s="9" t="s">
        <v>98</v>
      </c>
      <c r="E16" s="9" t="s">
        <v>99</v>
      </c>
      <c r="F16" s="9" t="s">
        <v>100</v>
      </c>
      <c r="G16" s="9" t="s">
        <v>101</v>
      </c>
      <c r="H16" s="9" t="s">
        <v>39</v>
      </c>
      <c r="I16" s="9">
        <v>8.0</v>
      </c>
      <c r="J16" s="10">
        <v>46182.0</v>
      </c>
      <c r="K16" s="9" t="s">
        <v>22</v>
      </c>
      <c r="L16" s="9" t="s">
        <v>23</v>
      </c>
      <c r="M16" s="9" t="s">
        <v>102</v>
      </c>
      <c r="N16" s="9"/>
      <c r="O16" s="15" t="s">
        <v>103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8"/>
      <c r="B17" s="9" t="s">
        <v>104</v>
      </c>
      <c r="C17" s="9" t="s">
        <v>105</v>
      </c>
      <c r="D17" s="9" t="s">
        <v>106</v>
      </c>
      <c r="E17" s="9" t="s">
        <v>107</v>
      </c>
      <c r="F17" s="9" t="s">
        <v>30</v>
      </c>
      <c r="G17" s="9" t="s">
        <v>108</v>
      </c>
      <c r="H17" s="9" t="s">
        <v>39</v>
      </c>
      <c r="I17" s="9">
        <v>8.0</v>
      </c>
      <c r="J17" s="10">
        <v>46182.0</v>
      </c>
      <c r="K17" s="9" t="s">
        <v>40</v>
      </c>
      <c r="L17" s="9" t="s">
        <v>23</v>
      </c>
      <c r="M17" s="9" t="s">
        <v>109</v>
      </c>
      <c r="N17" s="9"/>
      <c r="O17" s="11" t="s">
        <v>110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"/>
      <c r="B18" s="9" t="s">
        <v>111</v>
      </c>
      <c r="C18" s="9" t="s">
        <v>112</v>
      </c>
      <c r="D18" s="9" t="s">
        <v>113</v>
      </c>
      <c r="E18" s="9" t="s">
        <v>114</v>
      </c>
      <c r="F18" s="9" t="s">
        <v>19</v>
      </c>
      <c r="G18" s="9" t="s">
        <v>115</v>
      </c>
      <c r="H18" s="9" t="s">
        <v>49</v>
      </c>
      <c r="I18" s="9">
        <v>8.0</v>
      </c>
      <c r="J18" s="10">
        <v>46182.0</v>
      </c>
      <c r="K18" s="9" t="s">
        <v>22</v>
      </c>
      <c r="L18" s="9" t="s">
        <v>23</v>
      </c>
      <c r="M18" s="9" t="s">
        <v>116</v>
      </c>
      <c r="N18" s="9"/>
      <c r="O18" s="11" t="s">
        <v>117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"/>
      <c r="B19" s="8"/>
      <c r="C19" s="8"/>
      <c r="D19" s="8"/>
      <c r="E19" s="8"/>
      <c r="F19" s="8"/>
      <c r="G19" s="8"/>
      <c r="H19" s="16"/>
      <c r="I19" s="17"/>
      <c r="J19" s="17"/>
      <c r="K19" s="18"/>
      <c r="L19" s="17"/>
      <c r="M19" s="8"/>
      <c r="N19" s="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8"/>
      <c r="B20" s="8"/>
      <c r="C20" s="8"/>
      <c r="D20" s="8"/>
      <c r="E20" s="8"/>
      <c r="F20" s="8"/>
      <c r="G20" s="8"/>
      <c r="H20" s="8"/>
      <c r="I20" s="17"/>
      <c r="J20" s="17"/>
      <c r="K20" s="18"/>
      <c r="L20" s="17"/>
      <c r="M20" s="8"/>
      <c r="N20" s="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8"/>
      <c r="B21" s="8"/>
      <c r="C21" s="8"/>
      <c r="D21" s="8"/>
      <c r="E21" s="8"/>
      <c r="F21" s="8"/>
      <c r="G21" s="8"/>
      <c r="H21" s="8"/>
      <c r="I21" s="17"/>
      <c r="J21" s="17"/>
      <c r="K21" s="19"/>
      <c r="L21" s="17"/>
      <c r="M21" s="8"/>
      <c r="N21" s="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8"/>
      <c r="B22" s="8"/>
      <c r="C22" s="8"/>
      <c r="D22" s="8"/>
      <c r="E22" s="8"/>
      <c r="F22" s="8"/>
      <c r="G22" s="8"/>
      <c r="H22" s="8"/>
      <c r="I22" s="17"/>
      <c r="J22" s="17"/>
      <c r="K22" s="19"/>
      <c r="L22" s="17"/>
      <c r="M22" s="8"/>
      <c r="N22" s="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8"/>
      <c r="B23" s="8"/>
      <c r="C23" s="8"/>
      <c r="D23" s="8"/>
      <c r="E23" s="8"/>
      <c r="F23" s="8"/>
      <c r="G23" s="8"/>
      <c r="H23" s="8"/>
      <c r="I23" s="17"/>
      <c r="J23" s="17"/>
      <c r="K23" s="18"/>
      <c r="L23" s="17"/>
      <c r="M23" s="8"/>
      <c r="N23" s="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8"/>
      <c r="B24" s="8"/>
      <c r="C24" s="8"/>
      <c r="D24" s="8"/>
      <c r="E24" s="8"/>
      <c r="F24" s="8"/>
      <c r="G24" s="8"/>
      <c r="H24" s="8"/>
      <c r="I24" s="17"/>
      <c r="J24" s="8"/>
      <c r="K24" s="8"/>
      <c r="L24" s="8"/>
      <c r="M24" s="8"/>
      <c r="N24" s="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8"/>
      <c r="B25" s="8"/>
      <c r="C25" s="8"/>
      <c r="D25" s="8"/>
      <c r="E25" s="8"/>
      <c r="F25" s="8"/>
      <c r="G25" s="8"/>
      <c r="H25" s="8"/>
      <c r="I25" s="17"/>
      <c r="J25" s="8"/>
      <c r="K25" s="8"/>
      <c r="L25" s="8"/>
      <c r="M25" s="8"/>
      <c r="N25" s="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8"/>
      <c r="B26" s="8"/>
      <c r="C26" s="8"/>
      <c r="D26" s="8"/>
      <c r="E26" s="8"/>
      <c r="F26" s="8"/>
      <c r="G26" s="8"/>
      <c r="H26" s="8"/>
      <c r="I26" s="17"/>
      <c r="J26" s="8"/>
      <c r="K26" s="18" t="s">
        <v>22</v>
      </c>
      <c r="L26" s="18" t="s">
        <v>118</v>
      </c>
      <c r="M26" s="8"/>
      <c r="N26" s="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8"/>
      <c r="B27" s="8"/>
      <c r="C27" s="8"/>
      <c r="D27" s="8"/>
      <c r="E27" s="8"/>
      <c r="F27" s="8"/>
      <c r="G27" s="8"/>
      <c r="H27" s="8"/>
      <c r="I27" s="17"/>
      <c r="J27" s="8"/>
      <c r="K27" s="18" t="s">
        <v>40</v>
      </c>
      <c r="L27" s="18" t="s">
        <v>23</v>
      </c>
      <c r="M27" s="8"/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8"/>
      <c r="B28" s="8"/>
      <c r="C28" s="8"/>
      <c r="D28" s="8"/>
      <c r="E28" s="8"/>
      <c r="F28" s="8"/>
      <c r="G28" s="8"/>
      <c r="H28" s="8"/>
      <c r="I28" s="17"/>
      <c r="J28" s="8"/>
      <c r="K28" s="18" t="s">
        <v>119</v>
      </c>
      <c r="L28" s="18" t="s">
        <v>120</v>
      </c>
      <c r="M28" s="8"/>
      <c r="N28" s="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8"/>
      <c r="B29" s="8"/>
      <c r="C29" s="8"/>
      <c r="D29" s="8"/>
      <c r="E29" s="8"/>
      <c r="F29" s="8"/>
      <c r="G29" s="8"/>
      <c r="H29" s="8"/>
      <c r="I29" s="17"/>
      <c r="J29" s="8"/>
      <c r="K29" s="18"/>
      <c r="L29" s="18" t="s">
        <v>121</v>
      </c>
      <c r="M29" s="8"/>
      <c r="N29" s="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8"/>
      <c r="B30" s="8"/>
      <c r="C30" s="8"/>
      <c r="D30" s="8"/>
      <c r="E30" s="8"/>
      <c r="F30" s="8"/>
      <c r="G30" s="8"/>
      <c r="H30" s="8"/>
      <c r="I30" s="17"/>
      <c r="J30" s="8"/>
      <c r="K30" s="8"/>
      <c r="L30" s="8"/>
      <c r="M30" s="8"/>
      <c r="N30" s="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8"/>
      <c r="B31" s="8"/>
      <c r="C31" s="8"/>
      <c r="D31" s="8"/>
      <c r="E31" s="8"/>
      <c r="F31" s="8"/>
      <c r="G31" s="8"/>
      <c r="H31" s="8"/>
      <c r="I31" s="17"/>
      <c r="J31" s="8"/>
      <c r="K31" s="8"/>
      <c r="L31" s="8"/>
      <c r="M31" s="8"/>
      <c r="N31" s="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8"/>
      <c r="B32" s="8"/>
      <c r="C32" s="8"/>
      <c r="D32" s="8"/>
      <c r="E32" s="8"/>
      <c r="F32" s="8"/>
      <c r="G32" s="8"/>
      <c r="H32" s="8"/>
      <c r="I32" s="17"/>
      <c r="J32" s="8"/>
      <c r="K32" s="8"/>
      <c r="L32" s="8"/>
      <c r="M32" s="8"/>
      <c r="N32" s="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17"/>
      <c r="J33" s="8"/>
      <c r="K33" s="8"/>
      <c r="L33" s="8"/>
      <c r="M33" s="8"/>
      <c r="N33" s="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17"/>
      <c r="J34" s="17"/>
      <c r="K34" s="18"/>
      <c r="L34" s="17"/>
      <c r="M34" s="8"/>
      <c r="N34" s="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17"/>
      <c r="J35" s="17"/>
      <c r="K35" s="18"/>
      <c r="L35" s="17"/>
      <c r="M35" s="8"/>
      <c r="N35" s="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17"/>
      <c r="J36" s="17"/>
      <c r="K36" s="18"/>
      <c r="L36" s="17"/>
      <c r="M36" s="8"/>
      <c r="N36" s="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17"/>
      <c r="J37" s="17"/>
      <c r="K37" s="18"/>
      <c r="L37" s="17"/>
      <c r="M37" s="8"/>
      <c r="N37" s="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17"/>
      <c r="J38" s="17"/>
      <c r="K38" s="18"/>
      <c r="L38" s="17"/>
      <c r="M38" s="8"/>
      <c r="N38" s="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17"/>
      <c r="J39" s="17"/>
      <c r="K39" s="18"/>
      <c r="L39" s="17"/>
      <c r="M39" s="8"/>
      <c r="N39" s="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17"/>
      <c r="J40" s="17"/>
      <c r="K40" s="18"/>
      <c r="L40" s="17"/>
      <c r="M40" s="8"/>
      <c r="N40" s="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17"/>
      <c r="J41" s="17"/>
      <c r="K41" s="18"/>
      <c r="L41" s="17"/>
      <c r="M41" s="8"/>
      <c r="N41" s="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17"/>
      <c r="J42" s="17"/>
      <c r="K42" s="18"/>
      <c r="L42" s="17"/>
      <c r="M42" s="8"/>
      <c r="N42" s="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17"/>
      <c r="J43" s="17"/>
      <c r="K43" s="18"/>
      <c r="L43" s="17"/>
      <c r="M43" s="8"/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17"/>
      <c r="J44" s="17"/>
      <c r="K44" s="18"/>
      <c r="L44" s="17"/>
      <c r="M44" s="8"/>
      <c r="N44" s="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17"/>
      <c r="J45" s="17"/>
      <c r="K45" s="18"/>
      <c r="L45" s="17"/>
      <c r="M45" s="8"/>
      <c r="N45" s="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17"/>
      <c r="J46" s="17"/>
      <c r="K46" s="18"/>
      <c r="L46" s="17"/>
      <c r="M46" s="8"/>
      <c r="N46" s="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17"/>
      <c r="J47" s="17"/>
      <c r="K47" s="18"/>
      <c r="L47" s="17"/>
      <c r="M47" s="8"/>
      <c r="N47" s="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17"/>
      <c r="J48" s="17"/>
      <c r="K48" s="18"/>
      <c r="L48" s="17"/>
      <c r="M48" s="8"/>
      <c r="N48" s="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17"/>
      <c r="J49" s="17"/>
      <c r="K49" s="18"/>
      <c r="L49" s="17"/>
      <c r="M49" s="8"/>
      <c r="N49" s="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17"/>
      <c r="J50" s="17"/>
      <c r="K50" s="18"/>
      <c r="L50" s="17"/>
      <c r="M50" s="8"/>
      <c r="N50" s="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17"/>
      <c r="J51" s="17"/>
      <c r="K51" s="18"/>
      <c r="L51" s="17"/>
      <c r="M51" s="8"/>
      <c r="N51" s="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17"/>
      <c r="J52" s="17"/>
      <c r="K52" s="18"/>
      <c r="L52" s="17"/>
      <c r="M52" s="8"/>
      <c r="N52" s="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17"/>
      <c r="J53" s="17"/>
      <c r="K53" s="18"/>
      <c r="L53" s="17"/>
      <c r="M53" s="8"/>
      <c r="N53" s="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17"/>
      <c r="J54" s="17"/>
      <c r="K54" s="18"/>
      <c r="L54" s="17"/>
      <c r="M54" s="8"/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17"/>
      <c r="J55" s="17"/>
      <c r="K55" s="18"/>
      <c r="L55" s="17"/>
      <c r="M55" s="8"/>
      <c r="N55" s="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17"/>
      <c r="J56" s="17"/>
      <c r="K56" s="18"/>
      <c r="L56" s="17"/>
      <c r="M56" s="8"/>
      <c r="N56" s="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17"/>
      <c r="J57" s="17"/>
      <c r="K57" s="18"/>
      <c r="L57" s="17"/>
      <c r="M57" s="8"/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17"/>
      <c r="J58" s="17"/>
      <c r="K58" s="18"/>
      <c r="L58" s="17"/>
      <c r="M58" s="8"/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17"/>
      <c r="J59" s="17"/>
      <c r="K59" s="18"/>
      <c r="L59" s="17"/>
      <c r="M59" s="8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17"/>
      <c r="J60" s="17"/>
      <c r="K60" s="18"/>
      <c r="L60" s="17"/>
      <c r="M60" s="8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17"/>
      <c r="J61" s="17"/>
      <c r="K61" s="18"/>
      <c r="L61" s="17"/>
      <c r="M61" s="8"/>
      <c r="N61" s="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17"/>
      <c r="J62" s="17"/>
      <c r="K62" s="18"/>
      <c r="L62" s="17"/>
      <c r="M62" s="8"/>
      <c r="N62" s="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17"/>
      <c r="J63" s="17"/>
      <c r="K63" s="18"/>
      <c r="L63" s="17"/>
      <c r="M63" s="8"/>
      <c r="N63" s="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17"/>
      <c r="J64" s="17"/>
      <c r="K64" s="18"/>
      <c r="L64" s="17"/>
      <c r="M64" s="8"/>
      <c r="N64" s="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17"/>
      <c r="J65" s="17"/>
      <c r="K65" s="18"/>
      <c r="L65" s="17"/>
      <c r="M65" s="8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17"/>
      <c r="J66" s="17"/>
      <c r="K66" s="18"/>
      <c r="L66" s="17"/>
      <c r="M66" s="8"/>
      <c r="N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17"/>
      <c r="J67" s="17"/>
      <c r="K67" s="18"/>
      <c r="L67" s="17"/>
      <c r="M67" s="8"/>
      <c r="N67" s="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17"/>
      <c r="J68" s="17"/>
      <c r="K68" s="18"/>
      <c r="L68" s="17"/>
      <c r="M68" s="8"/>
      <c r="N68" s="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17"/>
      <c r="J69" s="17"/>
      <c r="K69" s="18"/>
      <c r="L69" s="17"/>
      <c r="M69" s="8"/>
      <c r="N69" s="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17"/>
      <c r="J70" s="17"/>
      <c r="K70" s="18"/>
      <c r="L70" s="17"/>
      <c r="M70" s="8"/>
      <c r="N70" s="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17"/>
      <c r="J71" s="17"/>
      <c r="K71" s="18"/>
      <c r="L71" s="17"/>
      <c r="M71" s="8"/>
      <c r="N71" s="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17"/>
      <c r="J72" s="17"/>
      <c r="K72" s="18"/>
      <c r="L72" s="17"/>
      <c r="M72" s="8"/>
      <c r="N72" s="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17"/>
      <c r="J73" s="17"/>
      <c r="K73" s="18"/>
      <c r="L73" s="17"/>
      <c r="M73" s="8"/>
      <c r="N73" s="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17"/>
      <c r="J74" s="17"/>
      <c r="K74" s="18"/>
      <c r="L74" s="17"/>
      <c r="M74" s="8"/>
      <c r="N74" s="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17"/>
      <c r="J75" s="17"/>
      <c r="K75" s="18"/>
      <c r="L75" s="17"/>
      <c r="M75" s="8"/>
      <c r="N75" s="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17"/>
      <c r="J76" s="17"/>
      <c r="K76" s="18"/>
      <c r="L76" s="17"/>
      <c r="M76" s="8"/>
      <c r="N76" s="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17"/>
      <c r="J77" s="17"/>
      <c r="K77" s="18"/>
      <c r="L77" s="17"/>
      <c r="M77" s="8"/>
      <c r="N77" s="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17"/>
      <c r="J78" s="17"/>
      <c r="K78" s="18"/>
      <c r="L78" s="17"/>
      <c r="M78" s="8"/>
      <c r="N78" s="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17"/>
      <c r="J79" s="17"/>
      <c r="K79" s="18"/>
      <c r="L79" s="17"/>
      <c r="M79" s="8"/>
      <c r="N79" s="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17"/>
      <c r="J80" s="17"/>
      <c r="K80" s="18"/>
      <c r="L80" s="17"/>
      <c r="M80" s="8"/>
      <c r="N80" s="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17"/>
      <c r="J81" s="17"/>
      <c r="K81" s="18"/>
      <c r="L81" s="17"/>
      <c r="M81" s="8"/>
      <c r="N81" s="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17"/>
      <c r="J82" s="17"/>
      <c r="K82" s="18"/>
      <c r="L82" s="17"/>
      <c r="M82" s="8"/>
      <c r="N82" s="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17"/>
      <c r="J83" s="17"/>
      <c r="K83" s="18"/>
      <c r="L83" s="17"/>
      <c r="M83" s="8"/>
      <c r="N83" s="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17"/>
      <c r="J84" s="17"/>
      <c r="K84" s="18"/>
      <c r="L84" s="17"/>
      <c r="M84" s="8"/>
      <c r="N84" s="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17"/>
      <c r="J85" s="17"/>
      <c r="K85" s="18"/>
      <c r="L85" s="17"/>
      <c r="M85" s="8"/>
      <c r="N85" s="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17"/>
      <c r="J86" s="17"/>
      <c r="K86" s="18"/>
      <c r="L86" s="17"/>
      <c r="M86" s="8"/>
      <c r="N86" s="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17"/>
      <c r="J87" s="17"/>
      <c r="K87" s="18"/>
      <c r="L87" s="17"/>
      <c r="M87" s="8"/>
      <c r="N87" s="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17"/>
      <c r="J88" s="17"/>
      <c r="K88" s="18"/>
      <c r="L88" s="17"/>
      <c r="M88" s="8"/>
      <c r="N88" s="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17"/>
      <c r="J89" s="17"/>
      <c r="K89" s="18"/>
      <c r="L89" s="17"/>
      <c r="M89" s="8"/>
      <c r="N89" s="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17"/>
      <c r="J90" s="17"/>
      <c r="K90" s="18"/>
      <c r="L90" s="17"/>
      <c r="M90" s="8"/>
      <c r="N90" s="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17"/>
      <c r="J91" s="17"/>
      <c r="K91" s="18"/>
      <c r="L91" s="17"/>
      <c r="M91" s="8"/>
      <c r="N91" s="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17"/>
      <c r="J92" s="17"/>
      <c r="K92" s="18"/>
      <c r="L92" s="17"/>
      <c r="M92" s="8"/>
      <c r="N92" s="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17"/>
      <c r="J93" s="17"/>
      <c r="K93" s="18"/>
      <c r="L93" s="17"/>
      <c r="M93" s="8"/>
      <c r="N93" s="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17"/>
      <c r="J94" s="17"/>
      <c r="K94" s="18"/>
      <c r="L94" s="17"/>
      <c r="M94" s="8"/>
      <c r="N94" s="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17"/>
      <c r="J95" s="17"/>
      <c r="K95" s="18"/>
      <c r="L95" s="17"/>
      <c r="M95" s="8"/>
      <c r="N95" s="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17"/>
      <c r="J96" s="17"/>
      <c r="K96" s="18"/>
      <c r="L96" s="17"/>
      <c r="M96" s="8"/>
      <c r="N96" s="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17"/>
      <c r="J97" s="17"/>
      <c r="K97" s="18"/>
      <c r="L97" s="17"/>
      <c r="M97" s="8"/>
      <c r="N97" s="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17"/>
      <c r="J98" s="17"/>
      <c r="K98" s="18"/>
      <c r="L98" s="17"/>
      <c r="M98" s="8"/>
      <c r="N98" s="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17"/>
      <c r="J99" s="17"/>
      <c r="K99" s="18"/>
      <c r="L99" s="17"/>
      <c r="M99" s="8"/>
      <c r="N99" s="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17"/>
      <c r="J100" s="17"/>
      <c r="K100" s="18"/>
      <c r="L100" s="17"/>
      <c r="M100" s="8"/>
      <c r="N100" s="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17"/>
      <c r="J101" s="17"/>
      <c r="K101" s="18"/>
      <c r="L101" s="17"/>
      <c r="M101" s="8"/>
      <c r="N101" s="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17"/>
      <c r="J102" s="17"/>
      <c r="K102" s="18"/>
      <c r="L102" s="17"/>
      <c r="M102" s="8"/>
      <c r="N102" s="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17"/>
      <c r="J103" s="17"/>
      <c r="K103" s="18"/>
      <c r="L103" s="17"/>
      <c r="M103" s="8"/>
      <c r="N103" s="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17"/>
      <c r="J104" s="17"/>
      <c r="K104" s="18"/>
      <c r="L104" s="17"/>
      <c r="M104" s="8"/>
      <c r="N104" s="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17"/>
      <c r="J105" s="17"/>
      <c r="K105" s="18"/>
      <c r="L105" s="17"/>
      <c r="M105" s="8"/>
      <c r="N105" s="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17"/>
      <c r="J106" s="17"/>
      <c r="K106" s="18"/>
      <c r="L106" s="17"/>
      <c r="M106" s="8"/>
      <c r="N106" s="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17"/>
      <c r="J107" s="17"/>
      <c r="K107" s="18"/>
      <c r="L107" s="17"/>
      <c r="M107" s="8"/>
      <c r="N107" s="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17"/>
      <c r="J108" s="17"/>
      <c r="K108" s="18"/>
      <c r="L108" s="17"/>
      <c r="M108" s="8"/>
      <c r="N108" s="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17"/>
      <c r="J109" s="17"/>
      <c r="K109" s="18"/>
      <c r="L109" s="17"/>
      <c r="M109" s="8"/>
      <c r="N109" s="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17"/>
      <c r="J110" s="17"/>
      <c r="K110" s="18"/>
      <c r="L110" s="17"/>
      <c r="M110" s="8"/>
      <c r="N110" s="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17"/>
      <c r="J111" s="17"/>
      <c r="K111" s="18"/>
      <c r="L111" s="17"/>
      <c r="M111" s="8"/>
      <c r="N111" s="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17"/>
      <c r="J112" s="17"/>
      <c r="K112" s="18"/>
      <c r="L112" s="17"/>
      <c r="M112" s="8"/>
      <c r="N112" s="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17"/>
      <c r="J113" s="17"/>
      <c r="K113" s="18"/>
      <c r="L113" s="17"/>
      <c r="M113" s="8"/>
      <c r="N113" s="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17"/>
      <c r="J114" s="17"/>
      <c r="K114" s="18"/>
      <c r="L114" s="17"/>
      <c r="M114" s="8"/>
      <c r="N114" s="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17"/>
      <c r="J115" s="17"/>
      <c r="K115" s="18"/>
      <c r="L115" s="17"/>
      <c r="M115" s="8"/>
      <c r="N115" s="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17"/>
      <c r="J116" s="17"/>
      <c r="K116" s="18"/>
      <c r="L116" s="17"/>
      <c r="M116" s="8"/>
      <c r="N116" s="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17"/>
      <c r="J117" s="17"/>
      <c r="K117" s="18"/>
      <c r="L117" s="17"/>
      <c r="M117" s="8"/>
      <c r="N117" s="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17"/>
      <c r="J118" s="17"/>
      <c r="K118" s="18"/>
      <c r="L118" s="17"/>
      <c r="M118" s="8"/>
      <c r="N118" s="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17"/>
      <c r="J119" s="17"/>
      <c r="K119" s="18"/>
      <c r="L119" s="17"/>
      <c r="M119" s="8"/>
      <c r="N119" s="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17"/>
      <c r="J120" s="17"/>
      <c r="K120" s="18"/>
      <c r="L120" s="17"/>
      <c r="M120" s="8"/>
      <c r="N120" s="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17"/>
      <c r="J121" s="17"/>
      <c r="K121" s="18"/>
      <c r="L121" s="17"/>
      <c r="M121" s="8"/>
      <c r="N121" s="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17"/>
      <c r="J122" s="17"/>
      <c r="K122" s="18"/>
      <c r="L122" s="17"/>
      <c r="M122" s="8"/>
      <c r="N122" s="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17"/>
      <c r="J123" s="17"/>
      <c r="K123" s="18"/>
      <c r="L123" s="17"/>
      <c r="M123" s="8"/>
      <c r="N123" s="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17"/>
      <c r="J124" s="17"/>
      <c r="K124" s="18"/>
      <c r="L124" s="17"/>
      <c r="M124" s="8"/>
      <c r="N124" s="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17"/>
      <c r="J125" s="17"/>
      <c r="K125" s="18"/>
      <c r="L125" s="17"/>
      <c r="M125" s="8"/>
      <c r="N125" s="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17"/>
      <c r="J126" s="17"/>
      <c r="K126" s="18"/>
      <c r="L126" s="17"/>
      <c r="M126" s="8"/>
      <c r="N126" s="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17"/>
      <c r="J127" s="17"/>
      <c r="K127" s="18"/>
      <c r="L127" s="17"/>
      <c r="M127" s="8"/>
      <c r="N127" s="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17"/>
      <c r="J128" s="17"/>
      <c r="K128" s="18"/>
      <c r="L128" s="17"/>
      <c r="M128" s="8"/>
      <c r="N128" s="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17"/>
      <c r="J129" s="17"/>
      <c r="K129" s="18"/>
      <c r="L129" s="17"/>
      <c r="M129" s="8"/>
      <c r="N129" s="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17"/>
      <c r="J130" s="17"/>
      <c r="K130" s="18"/>
      <c r="L130" s="17"/>
      <c r="M130" s="8"/>
      <c r="N130" s="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17"/>
      <c r="J131" s="17"/>
      <c r="K131" s="18"/>
      <c r="L131" s="17"/>
      <c r="M131" s="8"/>
      <c r="N131" s="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17"/>
      <c r="J132" s="17"/>
      <c r="K132" s="18"/>
      <c r="L132" s="17"/>
      <c r="M132" s="8"/>
      <c r="N132" s="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17"/>
      <c r="J133" s="17"/>
      <c r="K133" s="18"/>
      <c r="L133" s="17"/>
      <c r="M133" s="8"/>
      <c r="N133" s="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17"/>
      <c r="J134" s="17"/>
      <c r="K134" s="18"/>
      <c r="L134" s="17"/>
      <c r="M134" s="8"/>
      <c r="N134" s="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17"/>
      <c r="J135" s="17"/>
      <c r="K135" s="18"/>
      <c r="L135" s="17"/>
      <c r="M135" s="8"/>
      <c r="N135" s="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17"/>
      <c r="J136" s="17"/>
      <c r="K136" s="18"/>
      <c r="L136" s="17"/>
      <c r="M136" s="8"/>
      <c r="N136" s="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17"/>
      <c r="J137" s="17"/>
      <c r="K137" s="18"/>
      <c r="L137" s="17"/>
      <c r="M137" s="8"/>
      <c r="N137" s="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17"/>
      <c r="J138" s="17"/>
      <c r="K138" s="18"/>
      <c r="L138" s="17"/>
      <c r="M138" s="8"/>
      <c r="N138" s="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17"/>
      <c r="J139" s="17"/>
      <c r="K139" s="18"/>
      <c r="L139" s="17"/>
      <c r="M139" s="8"/>
      <c r="N139" s="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17"/>
      <c r="J140" s="17"/>
      <c r="K140" s="18"/>
      <c r="L140" s="17"/>
      <c r="M140" s="8"/>
      <c r="N140" s="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17"/>
      <c r="J141" s="17"/>
      <c r="K141" s="18"/>
      <c r="L141" s="17"/>
      <c r="M141" s="8"/>
      <c r="N141" s="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17"/>
      <c r="J142" s="17"/>
      <c r="K142" s="18"/>
      <c r="L142" s="17"/>
      <c r="M142" s="8"/>
      <c r="N142" s="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17"/>
      <c r="J143" s="17"/>
      <c r="K143" s="18"/>
      <c r="L143" s="17"/>
      <c r="M143" s="8"/>
      <c r="N143" s="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17"/>
      <c r="J144" s="17"/>
      <c r="K144" s="18"/>
      <c r="L144" s="17"/>
      <c r="M144" s="8"/>
      <c r="N144" s="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17"/>
      <c r="J145" s="17"/>
      <c r="K145" s="18"/>
      <c r="L145" s="17"/>
      <c r="M145" s="8"/>
      <c r="N145" s="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17"/>
      <c r="J146" s="17"/>
      <c r="K146" s="18"/>
      <c r="L146" s="17"/>
      <c r="M146" s="8"/>
      <c r="N146" s="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17"/>
      <c r="J147" s="17"/>
      <c r="K147" s="18"/>
      <c r="L147" s="17"/>
      <c r="M147" s="8"/>
      <c r="N147" s="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17"/>
      <c r="J148" s="17"/>
      <c r="K148" s="18"/>
      <c r="L148" s="17"/>
      <c r="M148" s="8"/>
      <c r="N148" s="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17"/>
      <c r="J149" s="17"/>
      <c r="K149" s="18"/>
      <c r="L149" s="17"/>
      <c r="M149" s="8"/>
      <c r="N149" s="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17"/>
      <c r="J150" s="17"/>
      <c r="K150" s="18"/>
      <c r="L150" s="17"/>
      <c r="M150" s="8"/>
      <c r="N150" s="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17"/>
      <c r="J151" s="17"/>
      <c r="K151" s="18"/>
      <c r="L151" s="17"/>
      <c r="M151" s="8"/>
      <c r="N151" s="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17"/>
      <c r="J152" s="17"/>
      <c r="K152" s="18"/>
      <c r="L152" s="17"/>
      <c r="M152" s="8"/>
      <c r="N152" s="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17"/>
      <c r="J153" s="17"/>
      <c r="K153" s="18"/>
      <c r="L153" s="17"/>
      <c r="M153" s="8"/>
      <c r="N153" s="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17"/>
      <c r="J154" s="17"/>
      <c r="K154" s="18"/>
      <c r="L154" s="17"/>
      <c r="M154" s="8"/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17"/>
      <c r="J155" s="17"/>
      <c r="K155" s="18"/>
      <c r="L155" s="17"/>
      <c r="M155" s="8"/>
      <c r="N155" s="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17"/>
      <c r="J156" s="17"/>
      <c r="K156" s="18"/>
      <c r="L156" s="17"/>
      <c r="M156" s="8"/>
      <c r="N156" s="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17"/>
      <c r="J157" s="17"/>
      <c r="K157" s="18"/>
      <c r="L157" s="17"/>
      <c r="M157" s="8"/>
      <c r="N157" s="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17"/>
      <c r="J158" s="17"/>
      <c r="K158" s="18"/>
      <c r="L158" s="17"/>
      <c r="M158" s="8"/>
      <c r="N158" s="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17"/>
      <c r="J159" s="17"/>
      <c r="K159" s="18"/>
      <c r="L159" s="17"/>
      <c r="M159" s="8"/>
      <c r="N159" s="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17"/>
      <c r="J160" s="17"/>
      <c r="K160" s="18"/>
      <c r="L160" s="17"/>
      <c r="M160" s="8"/>
      <c r="N160" s="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17"/>
      <c r="J161" s="17"/>
      <c r="K161" s="18"/>
      <c r="L161" s="17"/>
      <c r="M161" s="8"/>
      <c r="N161" s="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17"/>
      <c r="J162" s="17"/>
      <c r="K162" s="18"/>
      <c r="L162" s="17"/>
      <c r="M162" s="8"/>
      <c r="N162" s="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17"/>
      <c r="J163" s="17"/>
      <c r="K163" s="18"/>
      <c r="L163" s="17"/>
      <c r="M163" s="8"/>
      <c r="N163" s="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17"/>
      <c r="J164" s="17"/>
      <c r="K164" s="18"/>
      <c r="L164" s="17"/>
      <c r="M164" s="8"/>
      <c r="N164" s="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17"/>
      <c r="J165" s="17"/>
      <c r="K165" s="18"/>
      <c r="L165" s="17"/>
      <c r="M165" s="8"/>
      <c r="N165" s="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17"/>
      <c r="J166" s="17"/>
      <c r="K166" s="18"/>
      <c r="L166" s="17"/>
      <c r="M166" s="8"/>
      <c r="N166" s="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17"/>
      <c r="J167" s="17"/>
      <c r="K167" s="18"/>
      <c r="L167" s="17"/>
      <c r="M167" s="8"/>
      <c r="N167" s="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17"/>
      <c r="J168" s="17"/>
      <c r="K168" s="18"/>
      <c r="L168" s="17"/>
      <c r="M168" s="8"/>
      <c r="N168" s="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17"/>
      <c r="J169" s="17"/>
      <c r="K169" s="18"/>
      <c r="L169" s="17"/>
      <c r="M169" s="8"/>
      <c r="N169" s="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17"/>
      <c r="J170" s="17"/>
      <c r="K170" s="18"/>
      <c r="L170" s="17"/>
      <c r="M170" s="8"/>
      <c r="N170" s="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17"/>
      <c r="J171" s="17"/>
      <c r="K171" s="18"/>
      <c r="L171" s="17"/>
      <c r="M171" s="8"/>
      <c r="N171" s="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17"/>
      <c r="J172" s="17"/>
      <c r="K172" s="18"/>
      <c r="L172" s="17"/>
      <c r="M172" s="8"/>
      <c r="N172" s="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17"/>
      <c r="J173" s="17"/>
      <c r="K173" s="18"/>
      <c r="L173" s="17"/>
      <c r="M173" s="8"/>
      <c r="N173" s="8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17"/>
      <c r="J174" s="17"/>
      <c r="K174" s="18"/>
      <c r="L174" s="17"/>
      <c r="M174" s="8"/>
      <c r="N174" s="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17"/>
      <c r="J175" s="17"/>
      <c r="K175" s="18"/>
      <c r="L175" s="17"/>
      <c r="M175" s="8"/>
      <c r="N175" s="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17"/>
      <c r="J176" s="17"/>
      <c r="K176" s="18"/>
      <c r="L176" s="17"/>
      <c r="M176" s="8"/>
      <c r="N176" s="8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17"/>
      <c r="J177" s="17"/>
      <c r="K177" s="18"/>
      <c r="L177" s="17"/>
      <c r="M177" s="8"/>
      <c r="N177" s="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17"/>
      <c r="J178" s="17"/>
      <c r="K178" s="18"/>
      <c r="L178" s="17"/>
      <c r="M178" s="8"/>
      <c r="N178" s="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17"/>
      <c r="J179" s="17"/>
      <c r="K179" s="18"/>
      <c r="L179" s="17"/>
      <c r="M179" s="8"/>
      <c r="N179" s="8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17"/>
      <c r="J180" s="17"/>
      <c r="K180" s="18"/>
      <c r="L180" s="17"/>
      <c r="M180" s="8"/>
      <c r="N180" s="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17"/>
      <c r="J181" s="17"/>
      <c r="K181" s="18"/>
      <c r="L181" s="17"/>
      <c r="M181" s="8"/>
      <c r="N181" s="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17"/>
      <c r="J182" s="17"/>
      <c r="K182" s="18"/>
      <c r="L182" s="17"/>
      <c r="M182" s="8"/>
      <c r="N182" s="8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17"/>
      <c r="J183" s="17"/>
      <c r="K183" s="18"/>
      <c r="L183" s="17"/>
      <c r="M183" s="8"/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17"/>
      <c r="J184" s="17"/>
      <c r="K184" s="18"/>
      <c r="L184" s="17"/>
      <c r="M184" s="8"/>
      <c r="N184" s="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17"/>
      <c r="J185" s="17"/>
      <c r="K185" s="18"/>
      <c r="L185" s="17"/>
      <c r="M185" s="8"/>
      <c r="N185" s="8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17"/>
      <c r="J186" s="17"/>
      <c r="K186" s="18"/>
      <c r="L186" s="17"/>
      <c r="M186" s="8"/>
      <c r="N186" s="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17"/>
      <c r="J187" s="17"/>
      <c r="K187" s="18"/>
      <c r="L187" s="17"/>
      <c r="M187" s="8"/>
      <c r="N187" s="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17"/>
      <c r="J188" s="17"/>
      <c r="K188" s="18"/>
      <c r="L188" s="17"/>
      <c r="M188" s="8"/>
      <c r="N188" s="8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17"/>
      <c r="J189" s="17"/>
      <c r="K189" s="18"/>
      <c r="L189" s="17"/>
      <c r="M189" s="8"/>
      <c r="N189" s="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17"/>
      <c r="J190" s="17"/>
      <c r="K190" s="18"/>
      <c r="L190" s="17"/>
      <c r="M190" s="8"/>
      <c r="N190" s="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17"/>
      <c r="J191" s="17"/>
      <c r="K191" s="18"/>
      <c r="L191" s="17"/>
      <c r="M191" s="8"/>
      <c r="N191" s="8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17"/>
      <c r="J192" s="17"/>
      <c r="K192" s="18"/>
      <c r="L192" s="17"/>
      <c r="M192" s="8"/>
      <c r="N192" s="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17"/>
      <c r="J193" s="17"/>
      <c r="K193" s="18"/>
      <c r="L193" s="17"/>
      <c r="M193" s="8"/>
      <c r="N193" s="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17"/>
      <c r="J194" s="17"/>
      <c r="K194" s="18"/>
      <c r="L194" s="17"/>
      <c r="M194" s="8"/>
      <c r="N194" s="8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17"/>
      <c r="J195" s="17"/>
      <c r="K195" s="18"/>
      <c r="L195" s="17"/>
      <c r="M195" s="8"/>
      <c r="N195" s="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17"/>
      <c r="J196" s="17"/>
      <c r="K196" s="18"/>
      <c r="L196" s="17"/>
      <c r="M196" s="8"/>
      <c r="N196" s="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17"/>
      <c r="J197" s="17"/>
      <c r="K197" s="18"/>
      <c r="L197" s="17"/>
      <c r="M197" s="8"/>
      <c r="N197" s="8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17"/>
      <c r="J198" s="17"/>
      <c r="K198" s="18"/>
      <c r="L198" s="17"/>
      <c r="M198" s="8"/>
      <c r="N198" s="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17"/>
      <c r="J199" s="17"/>
      <c r="K199" s="18"/>
      <c r="L199" s="17"/>
      <c r="M199" s="8"/>
      <c r="N199" s="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17"/>
      <c r="J200" s="17"/>
      <c r="K200" s="18"/>
      <c r="L200" s="17"/>
      <c r="M200" s="8"/>
      <c r="N200" s="8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17"/>
      <c r="J201" s="17"/>
      <c r="K201" s="18"/>
      <c r="L201" s="17"/>
      <c r="M201" s="8"/>
      <c r="N201" s="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17"/>
      <c r="J202" s="17"/>
      <c r="K202" s="18"/>
      <c r="L202" s="17"/>
      <c r="M202" s="8"/>
      <c r="N202" s="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17"/>
      <c r="J203" s="17"/>
      <c r="K203" s="18"/>
      <c r="L203" s="17"/>
      <c r="M203" s="8"/>
      <c r="N203" s="8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17"/>
      <c r="J204" s="17"/>
      <c r="K204" s="18"/>
      <c r="L204" s="17"/>
      <c r="M204" s="8"/>
      <c r="N204" s="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17"/>
      <c r="J205" s="17"/>
      <c r="K205" s="18"/>
      <c r="L205" s="17"/>
      <c r="M205" s="8"/>
      <c r="N205" s="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17"/>
      <c r="J206" s="17"/>
      <c r="K206" s="18"/>
      <c r="L206" s="17"/>
      <c r="M206" s="8"/>
      <c r="N206" s="8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17"/>
      <c r="J207" s="17"/>
      <c r="K207" s="18"/>
      <c r="L207" s="17"/>
      <c r="M207" s="8"/>
      <c r="N207" s="8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17"/>
      <c r="J208" s="17"/>
      <c r="K208" s="18"/>
      <c r="L208" s="17"/>
      <c r="M208" s="8"/>
      <c r="N208" s="8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17"/>
      <c r="J209" s="17"/>
      <c r="K209" s="18"/>
      <c r="L209" s="17"/>
      <c r="M209" s="8"/>
      <c r="N209" s="8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17"/>
      <c r="J210" s="17"/>
      <c r="K210" s="18"/>
      <c r="L210" s="17"/>
      <c r="M210" s="8"/>
      <c r="N210" s="8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17"/>
      <c r="J211" s="17"/>
      <c r="K211" s="18"/>
      <c r="L211" s="17"/>
      <c r="M211" s="8"/>
      <c r="N211" s="8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17"/>
      <c r="J212" s="17"/>
      <c r="K212" s="18"/>
      <c r="L212" s="17"/>
      <c r="M212" s="8"/>
      <c r="N212" s="8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17"/>
      <c r="J213" s="17"/>
      <c r="K213" s="18"/>
      <c r="L213" s="17"/>
      <c r="M213" s="8"/>
      <c r="N213" s="8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17"/>
      <c r="J214" s="17"/>
      <c r="K214" s="18"/>
      <c r="L214" s="17"/>
      <c r="M214" s="8"/>
      <c r="N214" s="8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17"/>
      <c r="J215" s="17"/>
      <c r="K215" s="18"/>
      <c r="L215" s="17"/>
      <c r="M215" s="8"/>
      <c r="N215" s="8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17"/>
      <c r="J216" s="17"/>
      <c r="K216" s="18"/>
      <c r="L216" s="17"/>
      <c r="M216" s="8"/>
      <c r="N216" s="8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17"/>
      <c r="J217" s="17"/>
      <c r="K217" s="18"/>
      <c r="L217" s="17"/>
      <c r="M217" s="8"/>
      <c r="N217" s="8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17"/>
      <c r="J218" s="17"/>
      <c r="K218" s="18"/>
      <c r="L218" s="17"/>
      <c r="M218" s="8"/>
      <c r="N218" s="8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17"/>
      <c r="J219" s="17"/>
      <c r="K219" s="18"/>
      <c r="L219" s="17"/>
      <c r="M219" s="8"/>
      <c r="N219" s="8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17"/>
      <c r="J220" s="17"/>
      <c r="K220" s="18"/>
      <c r="L220" s="17"/>
      <c r="M220" s="8"/>
      <c r="N220" s="8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17"/>
      <c r="J221" s="17"/>
      <c r="K221" s="18"/>
      <c r="L221" s="17"/>
      <c r="M221" s="8"/>
      <c r="N221" s="8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17"/>
      <c r="J222" s="17"/>
      <c r="K222" s="18"/>
      <c r="L222" s="17"/>
      <c r="M222" s="8"/>
      <c r="N222" s="8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17"/>
      <c r="J223" s="17"/>
      <c r="K223" s="18"/>
      <c r="L223" s="17"/>
      <c r="M223" s="8"/>
      <c r="N223" s="8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17"/>
      <c r="J224" s="17"/>
      <c r="K224" s="18"/>
      <c r="L224" s="17"/>
      <c r="M224" s="8"/>
      <c r="N224" s="8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17"/>
      <c r="J225" s="17"/>
      <c r="K225" s="18"/>
      <c r="L225" s="17"/>
      <c r="M225" s="8"/>
      <c r="N225" s="8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17"/>
      <c r="J226" s="17"/>
      <c r="K226" s="18"/>
      <c r="L226" s="17"/>
      <c r="M226" s="8"/>
      <c r="N226" s="8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17"/>
      <c r="J227" s="17"/>
      <c r="K227" s="18"/>
      <c r="L227" s="17"/>
      <c r="M227" s="8"/>
      <c r="N227" s="8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17"/>
      <c r="J228" s="17"/>
      <c r="K228" s="18"/>
      <c r="L228" s="17"/>
      <c r="M228" s="8"/>
      <c r="N228" s="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17"/>
      <c r="J229" s="17"/>
      <c r="K229" s="18"/>
      <c r="L229" s="17"/>
      <c r="M229" s="8"/>
      <c r="N229" s="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">
    <mergeCell ref="B3:O3"/>
  </mergeCells>
  <conditionalFormatting sqref="L6:L18">
    <cfRule type="colorScale" priority="1">
      <colorScale>
        <cfvo type="min"/>
        <cfvo type="max"/>
        <color rgb="FF57BB8A"/>
        <color rgb="FFFFFFFF"/>
      </colorScale>
    </cfRule>
  </conditionalFormatting>
  <conditionalFormatting sqref="L6:L18">
    <cfRule type="colorScale" priority="2">
      <colorScale>
        <cfvo type="min"/>
        <cfvo type="max"/>
        <color rgb="FF57BB8A"/>
        <color rgb="FFFFFFFF"/>
      </colorScale>
    </cfRule>
  </conditionalFormatting>
  <dataValidations>
    <dataValidation type="custom" allowBlank="1" showDropDown="1" sqref="J6:J18">
      <formula1>OR(NOT(ISERROR(DATEVALUE(J6))), AND(ISNUMBER(J6), LEFT(CELL("format", J6))="D"))</formula1>
    </dataValidation>
    <dataValidation type="list" allowBlank="1" showErrorMessage="1" sqref="L6:L18">
      <formula1>$L$26:$L$29</formula1>
    </dataValidation>
    <dataValidation type="list" allowBlank="1" showErrorMessage="1" sqref="K6:K18">
      <formula1>$K$26:$K$28</formula1>
    </dataValidation>
  </dataValidations>
  <printOptions horizontalCentered="1"/>
  <pageMargins bottom="0.5511811023622047" footer="0.0" header="0.0" left="0.3149606299212598" right="0.3149606299212598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3" width="10.63"/>
    <col customWidth="1" min="4" max="4" width="7.63"/>
    <col customWidth="1" min="5" max="5" width="24.88"/>
    <col customWidth="1" min="6" max="6" width="22.63"/>
    <col customWidth="1" min="7" max="14" width="10.63"/>
    <col customWidth="1" min="15" max="15" width="15.75"/>
    <col customWidth="1" min="16" max="16" width="2.63"/>
    <col customWidth="1" min="17" max="26" width="9.38"/>
  </cols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5.0" hidden="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0" hidden="1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hidden="1" customHeight="1">
      <c r="A4" s="20"/>
      <c r="B4" s="20"/>
      <c r="C4" s="21"/>
      <c r="D4" s="21"/>
      <c r="E4" s="21"/>
      <c r="F4" s="22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4.25" hidden="1" customHeight="1">
      <c r="A5" s="20"/>
      <c r="B5" s="20"/>
      <c r="C5" s="21"/>
      <c r="D5" s="21"/>
      <c r="E5" s="21"/>
      <c r="F5" s="22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9.75" customHeight="1">
      <c r="A6" s="20"/>
      <c r="B6" s="23" t="s">
        <v>122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9.75" customHeight="1">
      <c r="A7" s="20"/>
      <c r="B7" s="20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9.75" customHeight="1">
      <c r="A8" s="20"/>
      <c r="B8" s="25"/>
      <c r="C8" s="26"/>
      <c r="D8" s="26"/>
      <c r="E8" s="26"/>
      <c r="F8" s="27"/>
      <c r="G8" s="28"/>
      <c r="H8" s="28"/>
      <c r="I8" s="28"/>
      <c r="J8" s="28"/>
      <c r="K8" s="28"/>
      <c r="L8" s="28"/>
      <c r="M8" s="28"/>
      <c r="N8" s="28"/>
      <c r="O8" s="28"/>
      <c r="P8" s="29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0.0" customHeight="1">
      <c r="A9" s="20"/>
      <c r="B9" s="30"/>
      <c r="C9" s="31" t="s">
        <v>1</v>
      </c>
      <c r="D9" s="32"/>
      <c r="E9" s="33" t="s">
        <v>123</v>
      </c>
      <c r="F9" s="6"/>
      <c r="G9" s="32"/>
      <c r="H9" s="33" t="s">
        <v>11</v>
      </c>
      <c r="I9" s="6"/>
      <c r="J9" s="34"/>
      <c r="K9" s="34"/>
      <c r="L9" s="34"/>
      <c r="M9" s="34"/>
      <c r="N9" s="34"/>
      <c r="O9" s="34"/>
      <c r="P9" s="35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0.0" customHeight="1">
      <c r="A10" s="20"/>
      <c r="B10" s="30"/>
      <c r="C10" s="36" t="s">
        <v>34</v>
      </c>
      <c r="D10" s="37"/>
      <c r="E10" s="38" t="str">
        <f>VLOOKUP(C10,'Formato descripción HU'!B5:O18,5,0)</f>
        <v>Usuario (Socio, Tesorero, Presidente, Secretario)</v>
      </c>
      <c r="F10" s="6"/>
      <c r="G10" s="39"/>
      <c r="H10" s="38" t="str">
        <f>VLOOKUP(C10,'Formato descripción HU'!B5:O18,11,0)</f>
        <v>En proceso</v>
      </c>
      <c r="I10" s="6"/>
      <c r="J10" s="39"/>
      <c r="K10" s="34"/>
      <c r="L10" s="34"/>
      <c r="M10" s="34"/>
      <c r="N10" s="34"/>
      <c r="O10" s="34"/>
      <c r="P10" s="35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9.75" customHeight="1">
      <c r="A11" s="20"/>
      <c r="B11" s="30"/>
      <c r="C11" s="40"/>
      <c r="D11" s="37"/>
      <c r="E11" s="41"/>
      <c r="F11" s="41"/>
      <c r="G11" s="39"/>
      <c r="H11" s="41"/>
      <c r="I11" s="41"/>
      <c r="J11" s="39"/>
      <c r="K11" s="41"/>
      <c r="L11" s="41"/>
      <c r="M11" s="34"/>
      <c r="N11" s="41"/>
      <c r="O11" s="41"/>
      <c r="P11" s="35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0.0" customHeight="1">
      <c r="A12" s="20"/>
      <c r="B12" s="30"/>
      <c r="C12" s="31" t="s">
        <v>124</v>
      </c>
      <c r="D12" s="37"/>
      <c r="E12" s="33" t="s">
        <v>10</v>
      </c>
      <c r="F12" s="6"/>
      <c r="G12" s="39"/>
      <c r="H12" s="33" t="s">
        <v>125</v>
      </c>
      <c r="I12" s="6"/>
      <c r="J12" s="39"/>
      <c r="K12" s="41"/>
      <c r="L12" s="41"/>
      <c r="M12" s="34"/>
      <c r="N12" s="41"/>
      <c r="O12" s="41"/>
      <c r="P12" s="35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0.0" customHeight="1">
      <c r="A13" s="20"/>
      <c r="B13" s="30"/>
      <c r="C13" s="42">
        <f>VLOOKUP(C10,'Formato descripción HU'!B5:O18,8,0)</f>
        <v>4</v>
      </c>
      <c r="D13" s="37"/>
      <c r="E13" s="38" t="str">
        <f>VLOOKUP(C10,'Formato descripción HU'!B5:O18,10,0)</f>
        <v>Media </v>
      </c>
      <c r="F13" s="6"/>
      <c r="G13" s="39"/>
      <c r="H13" s="38" t="str">
        <f>VLOOKUP(C10,'Formato descripción HU'!B5:O18,7,0)</f>
        <v>Dylan Alvarado</v>
      </c>
      <c r="I13" s="6"/>
      <c r="J13" s="39"/>
      <c r="K13" s="41"/>
      <c r="L13" s="41"/>
      <c r="M13" s="34"/>
      <c r="N13" s="41"/>
      <c r="O13" s="41"/>
      <c r="P13" s="35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30"/>
      <c r="C14" s="34"/>
      <c r="D14" s="37"/>
      <c r="E14" s="34"/>
      <c r="F14" s="34"/>
      <c r="G14" s="39"/>
      <c r="H14" s="39"/>
      <c r="I14" s="34"/>
      <c r="J14" s="34"/>
      <c r="K14" s="34"/>
      <c r="L14" s="34"/>
      <c r="M14" s="34"/>
      <c r="N14" s="34"/>
      <c r="O14" s="34"/>
      <c r="P14" s="35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30"/>
      <c r="C15" s="43" t="s">
        <v>126</v>
      </c>
      <c r="D15" s="44" t="str">
        <f>VLOOKUP(C10,'Formato descripción HU'!B5:O18,3,0)</f>
        <v>El sistema debe mostrar una vista de calendario mensual con todos los eventos programados, con filtros y recordatorios personalizables.</v>
      </c>
      <c r="E15" s="45"/>
      <c r="F15" s="46"/>
      <c r="G15" s="43" t="s">
        <v>127</v>
      </c>
      <c r="H15" s="44" t="str">
        <f>VLOOKUP(C10,'Formato descripción HU'!B5:O18,4,0)</f>
        <v>Para que los usuarios puedan informarse sobre los eventos próximos, filtrarlos por tipo y configurar recordatorios personales.</v>
      </c>
      <c r="I15" s="47"/>
      <c r="J15" s="45"/>
      <c r="K15" s="46"/>
      <c r="L15" s="43" t="s">
        <v>128</v>
      </c>
      <c r="M15" s="48" t="str">
        <f>VLOOKUP(C10,'Formato descripción HU'!B5:O18,6,0)</f>
        <v>El usuario accede a la sección 'Calendario', visualiza los eventos del mes diferenciados por color (azul=social, verde=deportivo), selecciona un evento para ver su detalle, aplica filtros por tipo, navega entre meses y configura recordatorios de 15, 7 o 1 día antes del evento.</v>
      </c>
      <c r="N15" s="47"/>
      <c r="O15" s="45"/>
      <c r="P15" s="35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30"/>
      <c r="C16" s="49"/>
      <c r="D16" s="50"/>
      <c r="E16" s="51"/>
      <c r="F16" s="46"/>
      <c r="G16" s="49"/>
      <c r="H16" s="50"/>
      <c r="J16" s="51"/>
      <c r="K16" s="46"/>
      <c r="L16" s="49"/>
      <c r="M16" s="50"/>
      <c r="O16" s="51"/>
      <c r="P16" s="35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15.5" customHeight="1">
      <c r="A17" s="20"/>
      <c r="B17" s="30"/>
      <c r="C17" s="52"/>
      <c r="D17" s="53"/>
      <c r="E17" s="54"/>
      <c r="F17" s="46"/>
      <c r="G17" s="52"/>
      <c r="H17" s="53"/>
      <c r="I17" s="55"/>
      <c r="J17" s="54"/>
      <c r="K17" s="46"/>
      <c r="L17" s="52"/>
      <c r="M17" s="53"/>
      <c r="N17" s="55"/>
      <c r="O17" s="54"/>
      <c r="P17" s="35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9.75" customHeight="1">
      <c r="A18" s="20"/>
      <c r="B18" s="30"/>
      <c r="C18" s="34"/>
      <c r="D18" s="34"/>
      <c r="E18" s="34"/>
      <c r="F18" s="34"/>
      <c r="G18" s="39"/>
      <c r="H18" s="39"/>
      <c r="I18" s="39"/>
      <c r="J18" s="34"/>
      <c r="K18" s="34"/>
      <c r="L18" s="34"/>
      <c r="M18" s="34"/>
      <c r="N18" s="34"/>
      <c r="O18" s="34"/>
      <c r="P18" s="35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9.5" customHeight="1">
      <c r="A19" s="20"/>
      <c r="B19" s="30"/>
      <c r="C19" s="56" t="s">
        <v>129</v>
      </c>
      <c r="D19" s="45"/>
      <c r="E19" s="57" t="str">
        <f>VLOOKUP(C10,'Formato descripción HU'!B5:O18,14,0)</f>
        <v>Consultar Calendario de Eventos</v>
      </c>
      <c r="F19" s="58"/>
      <c r="G19" s="58"/>
      <c r="H19" s="58"/>
      <c r="I19" s="58"/>
      <c r="J19" s="58"/>
      <c r="K19" s="58"/>
      <c r="L19" s="58"/>
      <c r="M19" s="58"/>
      <c r="N19" s="58"/>
      <c r="O19" s="59"/>
      <c r="P19" s="35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9.5" customHeight="1">
      <c r="A20" s="20"/>
      <c r="B20" s="30"/>
      <c r="C20" s="53"/>
      <c r="D20" s="54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35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9.75" customHeight="1">
      <c r="A21" s="20"/>
      <c r="B21" s="30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5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9.5" customHeight="1">
      <c r="A22" s="20"/>
      <c r="B22" s="30"/>
      <c r="C22" s="63" t="s">
        <v>130</v>
      </c>
      <c r="D22" s="45"/>
      <c r="E22" s="64" t="str">
        <f>VLOOKUP(C10,'Formato descripción HU'!B5:O18,12,0)</f>
        <v>Verificar que el calendario muestra los eventos con colores correctos, que los filtros funcionan, que la navegación entre meses carga los eventos correspondientes y que los recordatorios se programan correctamente.</v>
      </c>
      <c r="F22" s="47"/>
      <c r="G22" s="47"/>
      <c r="H22" s="45"/>
      <c r="I22" s="34"/>
      <c r="J22" s="63" t="s">
        <v>13</v>
      </c>
      <c r="K22" s="45"/>
      <c r="L22" s="44" t="str">
        <f>VLOOKUP(C10,'Formato descripción HU'!B5:O18,13,0)</f>
        <v/>
      </c>
      <c r="M22" s="47"/>
      <c r="N22" s="47"/>
      <c r="O22" s="45"/>
      <c r="P22" s="35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9.5" customHeight="1">
      <c r="A23" s="20"/>
      <c r="B23" s="30"/>
      <c r="C23" s="50"/>
      <c r="D23" s="51"/>
      <c r="E23" s="50"/>
      <c r="H23" s="51"/>
      <c r="I23" s="34"/>
      <c r="J23" s="50"/>
      <c r="K23" s="51"/>
      <c r="L23" s="50"/>
      <c r="O23" s="51"/>
      <c r="P23" s="35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59.25" customHeight="1">
      <c r="A24" s="20"/>
      <c r="B24" s="30"/>
      <c r="C24" s="53"/>
      <c r="D24" s="54"/>
      <c r="E24" s="53"/>
      <c r="F24" s="55"/>
      <c r="G24" s="55"/>
      <c r="H24" s="54"/>
      <c r="I24" s="34"/>
      <c r="J24" s="53"/>
      <c r="K24" s="54"/>
      <c r="L24" s="53"/>
      <c r="M24" s="55"/>
      <c r="N24" s="55"/>
      <c r="O24" s="54"/>
      <c r="P24" s="35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9.75" customHeight="1">
      <c r="A25" s="20"/>
      <c r="B25" s="65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7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9.5" customHeight="1">
      <c r="A26" s="20"/>
      <c r="B26" s="20"/>
      <c r="C26" s="21"/>
      <c r="D26" s="21"/>
      <c r="E26" s="21"/>
      <c r="F26" s="22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1.0" customHeight="1">
      <c r="A27" s="20"/>
      <c r="B27" s="68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9.5" customHeight="1">
      <c r="A28" s="20"/>
      <c r="B28" s="2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9.5" customHeight="1">
      <c r="A29" s="20"/>
      <c r="B29" s="20"/>
      <c r="C29" s="21"/>
      <c r="D29" s="21"/>
      <c r="E29" s="21"/>
      <c r="F29" s="22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9.5" customHeight="1">
      <c r="A30" s="20"/>
      <c r="B30" s="20"/>
      <c r="C30" s="69"/>
      <c r="D30" s="70"/>
      <c r="E30" s="69"/>
      <c r="G30" s="70"/>
      <c r="H30" s="69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9.5" customHeight="1">
      <c r="A31" s="20"/>
      <c r="B31" s="20"/>
      <c r="C31" s="69"/>
      <c r="D31" s="71"/>
      <c r="E31" s="69"/>
      <c r="G31" s="72"/>
      <c r="H31" s="69"/>
      <c r="J31" s="72"/>
      <c r="K31" s="73"/>
      <c r="L31" s="73"/>
      <c r="M31" s="20"/>
      <c r="N31" s="73"/>
      <c r="O31" s="73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9.5" customHeight="1">
      <c r="A32" s="20"/>
      <c r="B32" s="20"/>
      <c r="C32" s="74"/>
      <c r="D32" s="71"/>
      <c r="E32" s="73"/>
      <c r="G32" s="72"/>
      <c r="H32" s="73"/>
      <c r="J32" s="72"/>
      <c r="K32" s="73"/>
      <c r="L32" s="73"/>
      <c r="M32" s="20"/>
      <c r="N32" s="73"/>
      <c r="O32" s="73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9.5" customHeight="1">
      <c r="A33" s="20"/>
      <c r="B33" s="20"/>
      <c r="C33" s="20"/>
      <c r="D33" s="71"/>
      <c r="E33" s="20"/>
      <c r="F33" s="20"/>
      <c r="G33" s="72"/>
      <c r="H33" s="72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9.5" customHeight="1">
      <c r="A34" s="20"/>
      <c r="B34" s="20"/>
      <c r="C34" s="69"/>
      <c r="D34" s="75"/>
      <c r="F34" s="76"/>
      <c r="G34" s="69"/>
      <c r="H34" s="75"/>
      <c r="K34" s="76"/>
      <c r="L34" s="69"/>
      <c r="M34" s="77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9.5" customHeight="1">
      <c r="A35" s="20"/>
      <c r="B35" s="20"/>
      <c r="F35" s="76"/>
      <c r="K35" s="76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9.5" customHeight="1">
      <c r="A36" s="20"/>
      <c r="B36" s="20"/>
      <c r="F36" s="76"/>
      <c r="K36" s="76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9.5" customHeight="1">
      <c r="A37" s="20"/>
      <c r="B37" s="20"/>
      <c r="C37" s="20"/>
      <c r="D37" s="20"/>
      <c r="E37" s="20"/>
      <c r="F37" s="20"/>
      <c r="G37" s="72"/>
      <c r="H37" s="72"/>
      <c r="I37" s="72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9.5" customHeight="1">
      <c r="A38" s="20"/>
      <c r="B38" s="20"/>
      <c r="C38" s="78"/>
      <c r="E38" s="74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9.5" customHeight="1">
      <c r="A39" s="20"/>
      <c r="B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9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9.5" customHeight="1">
      <c r="A41" s="20"/>
      <c r="B41" s="20"/>
      <c r="C41" s="69"/>
      <c r="E41" s="79"/>
      <c r="I41" s="20"/>
      <c r="J41" s="69"/>
      <c r="L41" s="75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9.5" customHeight="1">
      <c r="A42" s="20"/>
      <c r="B42" s="20"/>
      <c r="I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9.5" customHeight="1">
      <c r="A43" s="20"/>
      <c r="B43" s="20"/>
      <c r="I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9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9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9.5" customHeight="1">
      <c r="A46" s="20"/>
      <c r="B46" s="8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9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9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9.5" customHeight="1">
      <c r="A49" s="20"/>
      <c r="B49" s="20"/>
      <c r="C49" s="81"/>
      <c r="D49" s="20"/>
      <c r="E49" s="81"/>
      <c r="G49" s="20"/>
      <c r="H49" s="81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9.5" customHeight="1">
      <c r="A50" s="20"/>
      <c r="B50" s="20"/>
      <c r="C50" s="82"/>
      <c r="D50" s="20"/>
      <c r="E50" s="83"/>
      <c r="G50" s="20"/>
      <c r="H50" s="73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9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9.5" customHeight="1">
      <c r="A52" s="20"/>
      <c r="B52" s="20"/>
      <c r="C52" s="81"/>
      <c r="D52" s="20"/>
      <c r="E52" s="81"/>
      <c r="G52" s="20"/>
      <c r="H52" s="81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82"/>
      <c r="D53" s="20"/>
      <c r="E53" s="83"/>
      <c r="G53" s="20"/>
      <c r="H53" s="83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81"/>
      <c r="D55" s="75"/>
      <c r="F55" s="20"/>
      <c r="G55" s="81"/>
      <c r="H55" s="84"/>
      <c r="K55" s="20"/>
      <c r="L55" s="81"/>
      <c r="M55" s="85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F56" s="20"/>
      <c r="K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F57" s="20"/>
      <c r="K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86"/>
      <c r="E59" s="82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81"/>
      <c r="E62" s="87"/>
      <c r="I62" s="20"/>
      <c r="J62" s="81"/>
      <c r="L62" s="88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I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I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9.75" customHeight="1">
      <c r="A67" s="20"/>
      <c r="B67" s="8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7.0" customHeight="1">
      <c r="A68" s="20"/>
      <c r="B68" s="8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81"/>
      <c r="D71" s="20"/>
      <c r="E71" s="81"/>
      <c r="G71" s="20"/>
      <c r="H71" s="81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81"/>
      <c r="D72" s="20"/>
      <c r="E72" s="81"/>
      <c r="G72" s="20"/>
      <c r="H72" s="81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82"/>
      <c r="D73" s="20"/>
      <c r="E73" s="83"/>
      <c r="G73" s="20"/>
      <c r="H73" s="83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81"/>
      <c r="D75" s="89"/>
      <c r="F75" s="20"/>
      <c r="G75" s="81"/>
      <c r="H75" s="84"/>
      <c r="K75" s="20"/>
      <c r="L75" s="81"/>
      <c r="M75" s="85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F76" s="20"/>
      <c r="K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F77" s="20"/>
      <c r="K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86"/>
      <c r="E79" s="82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81"/>
      <c r="E82" s="87"/>
      <c r="I82" s="20"/>
      <c r="J82" s="81"/>
      <c r="L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I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I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1.0" customHeight="1">
      <c r="A87" s="20"/>
      <c r="B87" s="8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81"/>
      <c r="D90" s="20"/>
      <c r="E90" s="81"/>
      <c r="G90" s="20"/>
      <c r="H90" s="81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82"/>
      <c r="D91" s="20"/>
      <c r="E91" s="83"/>
      <c r="G91" s="20"/>
      <c r="H91" s="83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81"/>
      <c r="D93" s="84"/>
      <c r="F93" s="20"/>
      <c r="G93" s="81"/>
      <c r="H93" s="84"/>
      <c r="K93" s="20"/>
      <c r="L93" s="81"/>
      <c r="M93" s="9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F94" s="20"/>
      <c r="K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F95" s="20"/>
      <c r="K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86"/>
      <c r="E97" s="82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91"/>
      <c r="F99" s="91"/>
      <c r="G99" s="91"/>
      <c r="H99" s="91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81"/>
      <c r="E100" s="92"/>
      <c r="I100" s="20"/>
      <c r="J100" s="81"/>
      <c r="L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I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I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8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99">
    <mergeCell ref="H52:I52"/>
    <mergeCell ref="H53:I53"/>
    <mergeCell ref="D55:E57"/>
    <mergeCell ref="G55:G57"/>
    <mergeCell ref="H55:J57"/>
    <mergeCell ref="L55:L57"/>
    <mergeCell ref="M55:O57"/>
    <mergeCell ref="E59:O60"/>
    <mergeCell ref="C55:C57"/>
    <mergeCell ref="C59:D60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C75:C77"/>
    <mergeCell ref="D75:E77"/>
    <mergeCell ref="G75:G77"/>
    <mergeCell ref="H75:J77"/>
    <mergeCell ref="L75:L77"/>
    <mergeCell ref="M75:O77"/>
    <mergeCell ref="E79:O80"/>
    <mergeCell ref="C79:D80"/>
    <mergeCell ref="C82:D84"/>
    <mergeCell ref="E82:H84"/>
    <mergeCell ref="J82:K84"/>
    <mergeCell ref="L82:O84"/>
    <mergeCell ref="B87:P87"/>
    <mergeCell ref="H90:I90"/>
    <mergeCell ref="L93:L95"/>
    <mergeCell ref="M93:O95"/>
    <mergeCell ref="C97:D98"/>
    <mergeCell ref="E97:O98"/>
    <mergeCell ref="C100:D102"/>
    <mergeCell ref="E100:H102"/>
    <mergeCell ref="J100:K102"/>
    <mergeCell ref="L100:O102"/>
    <mergeCell ref="B105:P105"/>
    <mergeCell ref="E90:F90"/>
    <mergeCell ref="E91:F91"/>
    <mergeCell ref="H91:I91"/>
    <mergeCell ref="C93:C95"/>
    <mergeCell ref="D93:E95"/>
    <mergeCell ref="G93:G95"/>
    <mergeCell ref="H93:J9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J41:K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</mergeCells>
  <conditionalFormatting sqref="H10:I11 H50">
    <cfRule type="cellIs" dxfId="0" priority="1" operator="equal">
      <formula>"Atrasado"</formula>
    </cfRule>
  </conditionalFormatting>
  <conditionalFormatting sqref="H10:I11 H50">
    <cfRule type="cellIs" dxfId="1" priority="2" operator="equal">
      <formula>"Terminado"</formula>
    </cfRule>
  </conditionalFormatting>
  <conditionalFormatting sqref="H10:I11 H50">
    <cfRule type="cellIs" dxfId="2" priority="3" operator="equal">
      <formula>"En proceso"</formula>
    </cfRule>
  </conditionalFormatting>
  <conditionalFormatting sqref="H10:I11 H50">
    <cfRule type="cellIs" dxfId="1" priority="4" operator="equal">
      <formula>"No Iniciado"</formula>
    </cfRule>
  </conditionalFormatting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