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6to semestre\AlexCuzco_30724_G5_ADSW\Primer Parcial\Talleres\"/>
    </mc:Choice>
  </mc:AlternateContent>
  <xr:revisionPtr revIDLastSave="0" documentId="13_ncr:1_{748C6903-5EB9-43DB-8B29-F17A29FF7B47}" xr6:coauthVersionLast="47" xr6:coauthVersionMax="47" xr10:uidLastSave="{00000000-0000-0000-0000-000000000000}"/>
  <bookViews>
    <workbookView xWindow="-110" yWindow="-110" windowWidth="19420" windowHeight="10420" firstSheet="3" activeTab="4" xr2:uid="{00000000-000D-0000-FFFF-FFFF00000000}"/>
  </bookViews>
  <sheets>
    <sheet name="Matriz Ckeck LIst" sheetId="1" r:id="rId1"/>
    <sheet name="MODELO LISTA DE COMPROBACION 1" sheetId="2" r:id="rId2"/>
    <sheet name="MODELO LISTA DE COMPROBACION 2" sheetId="4" r:id="rId3"/>
    <sheet name="MODELO LISTA DE COMPROBACION 3" sheetId="3" r:id="rId4"/>
    <sheet name="RECOMENDACION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ALWYo6nnjX3wocvkjnVAoPC1UOI93Tq/33vQSAE/CZ4="/>
    </ext>
  </extLst>
</workbook>
</file>

<file path=xl/calcChain.xml><?xml version="1.0" encoding="utf-8"?>
<calcChain xmlns="http://schemas.openxmlformats.org/spreadsheetml/2006/main">
  <c r="D35" i="3" l="1"/>
  <c r="D36" i="3" s="1"/>
  <c r="D36" i="4"/>
  <c r="C36" i="4"/>
  <c r="D28" i="4"/>
  <c r="C28" i="4"/>
  <c r="D17" i="4"/>
  <c r="D18" i="4" s="1"/>
  <c r="C17" i="4"/>
  <c r="C18" i="4" s="1"/>
  <c r="C36" i="3"/>
  <c r="D28" i="3"/>
  <c r="C28" i="3"/>
  <c r="D18" i="3"/>
  <c r="C18" i="3"/>
  <c r="D36" i="2"/>
  <c r="D35" i="2"/>
  <c r="C35" i="2"/>
  <c r="C36" i="2" s="1"/>
  <c r="D28" i="2"/>
  <c r="D27" i="2"/>
  <c r="C27" i="2"/>
  <c r="C28" i="2" s="1"/>
  <c r="D18" i="2"/>
  <c r="D17" i="2"/>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5000000}">
      <text>
        <r>
          <rPr>
            <sz val="11"/>
            <color theme="1"/>
            <rFont val="Calibri"/>
            <scheme val="minor"/>
          </rPr>
          <t>======
ID#AAAB5YuXW_0
ESPE    (2026-04-14 17:28:59)
COMPLETITUD DOCUMENTO</t>
        </r>
      </text>
    </comment>
    <comment ref="B9" authorId="0" shapeId="0" xr:uid="{00000000-0006-0000-0100-000001000000}">
      <text>
        <r>
          <rPr>
            <sz val="11"/>
            <color theme="1"/>
            <rFont val="Calibri"/>
            <scheme val="minor"/>
          </rPr>
          <t>======
ID#AAAB5ZYFUrI
ESPE    (2026-04-14 17:28:59)
COMPLETITUD REQUISITO INDIVIDUAL</t>
        </r>
      </text>
    </comment>
    <comment ref="B10" authorId="0" shapeId="0" xr:uid="{00000000-0006-0000-0100-000004000000}">
      <text>
        <r>
          <rPr>
            <sz val="11"/>
            <color theme="1"/>
            <rFont val="Calibri"/>
            <scheme val="minor"/>
          </rPr>
          <t>======
ID#AAAB5YuXXAM
ESPE    (2026-04-14 17:28:59)
TRAZABILIDAD</t>
        </r>
      </text>
    </comment>
    <comment ref="B11" authorId="0" shapeId="0" xr:uid="{00000000-0006-0000-0100-000002000000}">
      <text>
        <r>
          <rPr>
            <sz val="11"/>
            <color theme="1"/>
            <rFont val="Calibri"/>
            <scheme val="minor"/>
          </rPr>
          <t>======
ID#AAAB5YuXXAY
ESPE    (2026-04-14 17:28:59)
trazabilidad</t>
        </r>
      </text>
    </comment>
    <comment ref="B12" authorId="0" shapeId="0" xr:uid="{00000000-0006-0000-0100-000006000000}">
      <text>
        <r>
          <rPr>
            <sz val="11"/>
            <color theme="1"/>
            <rFont val="Calibri"/>
            <scheme val="minor"/>
          </rPr>
          <t>======
ID#AAAB5YuXW_4
ESPE    (2026-04-14 17:28:59)
TRAZABILIDAD</t>
        </r>
      </text>
    </comment>
    <comment ref="B13" authorId="0" shapeId="0" xr:uid="{00000000-0006-0000-0100-000003000000}">
      <text>
        <r>
          <rPr>
            <sz val="11"/>
            <color theme="1"/>
            <rFont val="Calibri"/>
            <scheme val="minor"/>
          </rPr>
          <t>======
ID#AAAB5YuXXAI
ESPE    (2026-04-14 17:28:59)
CORRECCION</t>
        </r>
      </text>
    </comment>
    <comment ref="B14" authorId="0" shapeId="0" xr:uid="{00000000-0006-0000-0100-000008000000}">
      <text>
        <r>
          <rPr>
            <sz val="11"/>
            <color theme="1"/>
            <rFont val="Calibri"/>
            <scheme val="minor"/>
          </rPr>
          <t>======
ID#AAAB5YuXW_o
ESPE    (2026-04-14 17:28:59)
CONSISTENCIA</t>
        </r>
      </text>
    </comment>
    <comment ref="B15" authorId="0" shapeId="0" xr:uid="{00000000-0006-0000-0100-000007000000}">
      <text>
        <r>
          <rPr>
            <sz val="11"/>
            <color theme="1"/>
            <rFont val="Calibri"/>
            <scheme val="minor"/>
          </rPr>
          <t>======
ID#AAAB5YuXW_k
ESPE    (2026-04-14 17:28:59)
NECESIDAD</t>
        </r>
      </text>
    </comment>
    <comment ref="B16" authorId="0" shapeId="0" xr:uid="{00000000-0006-0000-0100-000009000000}">
      <text>
        <r>
          <rPr>
            <sz val="11"/>
            <color theme="1"/>
            <rFont val="Calibri"/>
            <scheme val="minor"/>
          </rPr>
          <t>======
ID#AAAB5YuXW_Y
ESPE    (2026-04-14 17:28:59)
verificable</t>
        </r>
      </text>
    </comment>
  </commentList>
  <extLst>
    <ext xmlns:r="http://schemas.openxmlformats.org/officeDocument/2006/relationships" uri="GoogleSheetsCustomDataVersion2">
      <go:sheetsCustomData xmlns:go="http://customooxmlschemas.google.com/" r:id="rId1" roundtripDataSignature="AMtx7mieHQeQfmMzIotb4efntZFBPwwaxQ=="/>
    </ext>
  </extLst>
</comments>
</file>

<file path=xl/sharedStrings.xml><?xml version="1.0" encoding="utf-8"?>
<sst xmlns="http://schemas.openxmlformats.org/spreadsheetml/2006/main" count="312" uniqueCount="105">
  <si>
    <t>MATRIZ PARA COMPROBACIÓN REQUERIMIENTOS DE CALIDAD DE PROYECTO ACADEMICO</t>
  </si>
  <si>
    <t>SISTEMA:</t>
  </si>
  <si>
    <t xml:space="preserve">Sistema de planificación y seguimiento de eventos sociales y deportivos del Club de Suboficiales Retirados (EVENTUAL) </t>
  </si>
  <si>
    <t>Requerimientos  Funcionales</t>
  </si>
  <si>
    <t>Nº</t>
  </si>
  <si>
    <t>CRITERIOS DE CALIDAD (Documento/Requerimientos)</t>
  </si>
  <si>
    <t>Status
Nivel de Acuerdo</t>
  </si>
  <si>
    <t xml:space="preserve">
CU001 Acceso al software
</t>
  </si>
  <si>
    <t>CU003 Consultar Calendario de Eventos</t>
  </si>
  <si>
    <t>Agreed</t>
  </si>
  <si>
    <t>OK</t>
  </si>
  <si>
    <t>1. Videoconferencia de la entrevista
2. Minuta de la entrevista
3. Aceptación por videoconferencia</t>
  </si>
  <si>
    <t>Ranked</t>
  </si>
  <si>
    <t>1. En la descripción del caso de Uso se especifica la prioridad Alta</t>
  </si>
  <si>
    <t>NOK</t>
  </si>
  <si>
    <t>Unambiguos</t>
  </si>
  <si>
    <t xml:space="preserve">1.  Redacción en lenguaje claro.                                                                               2. El tutor y el equipo interpretan de igual manera el caso de uso </t>
  </si>
  <si>
    <t>Valid and up-to date</t>
  </si>
  <si>
    <t>1. Toda nueva información ha sido incorporada, se han incorporado los últimos cambios pedidos luego del feedback realizado por el cliente</t>
  </si>
  <si>
    <t>Correct</t>
  </si>
  <si>
    <t>1. Está alineado con los objetivos del sistema.                                                                                                                                                                                                                        2. Refleja lo que realmente necesita el cliente.</t>
  </si>
  <si>
    <t xml:space="preserve">OK </t>
  </si>
  <si>
    <t>Consisten</t>
  </si>
  <si>
    <t xml:space="preserve">1. Documentación basada en modelos: Diagrama de Casos de Uso
2. Usa términos definidos previamente.                                             </t>
  </si>
  <si>
    <t>Verifiable</t>
  </si>
  <si>
    <t>Realizable</t>
  </si>
  <si>
    <t>1. Funcionalidad tomada en cuenta dentro de la estimación del costo del proyecto ($1827)
2. No se ha desarrollado</t>
  </si>
  <si>
    <t>Traceable</t>
  </si>
  <si>
    <t>1. Es claro el origen del requisito y sus relaciones con otros requisitos (matriz de trazabilidad cliente/casos de uso y casos de uso/casos de uso) 
2. Cuenta con un identificador único</t>
  </si>
  <si>
    <t>Complete</t>
  </si>
  <si>
    <t>Understandability</t>
  </si>
  <si>
    <t>1. Se involucra al cliente
2. Existe glosario de términos</t>
  </si>
  <si>
    <t>FECHA:</t>
  </si>
  <si>
    <t>AUTOR:</t>
  </si>
  <si>
    <t>Alex Cuzco</t>
  </si>
  <si>
    <t>REQUERIMIENTOS EVALUADOS :</t>
  </si>
  <si>
    <t>CU001 Acceso al software</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</si>
  <si>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</si>
  <si>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</si>
  <si>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</si>
  <si>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</si>
  <si>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</si>
  <si>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</si>
  <si>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</si>
  <si>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</si>
  <si>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</si>
  <si>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</si>
  <si>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</si>
  <si>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</si>
  <si>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</si>
  <si>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</si>
  <si>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</si>
  <si>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</si>
  <si>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</si>
  <si>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</si>
  <si>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</si>
  <si>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</si>
  <si>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</si>
  <si>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</si>
  <si>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</si>
  <si>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</si>
  <si>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</si>
  <si>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</si>
  <si>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</si>
  <si>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</si>
  <si>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</si>
  <si>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Pablo Domínguez</t>
  </si>
  <si>
    <t>Dylan Alvarado</t>
  </si>
  <si>
    <t>CU001 Acceso al Software</t>
  </si>
  <si>
    <t>PREGUNTA</t>
  </si>
  <si>
    <t>RECOMENDACIÓN</t>
  </si>
  <si>
    <t>CU-004: Proponer Evento</t>
  </si>
  <si>
    <t>Prioridad declarada como "Alta".</t>
  </si>
  <si>
    <t>El formato de número de seguimiento (PRO-YYYY-NNN) es preciso. La validación de 50 caracteres mínimo es inequívoca. Los canales de notificación (App y WhatsApp) están especificados.</t>
  </si>
  <si>
    <t>Redacción inconsistente: "a el presidente" en lugar de "al presidente" (aparece en múltiples lugares), sugiere falta de revisión. Sin control de versiones.</t>
  </si>
  <si>
    <t>1. Está alineado con los objetivos del sistema. 2. Refleja lo que realmente necesita el cliente.</t>
  </si>
  <si>
    <t>El estado "Pendiente" es coherente con el flujo descrito en comentarios (el presidente puede aprobar, rechazar o pedir más información). Los notificados (Tesorero y Presidente) son consistentes con sus roles.</t>
  </si>
  <si>
    <t>1. Validación de 50 caracteres es comprobable. 2. Fecha futura es verificable. 3. Generación del código PRO-YYYY-NNN es testeable. 4. Envío de notificaciones por App y WhatsApp es verificable.</t>
  </si>
  <si>
    <t>Formulario con validaciones, generación de ID y notificaciones push/WhatsApp (vía API como Twilio) son técnicamente implementables.</t>
  </si>
  <si>
    <t>No referencia los CU posteriores que gestionan la propuesta (evaluación/aprobación por el presidente). No menciona el CU-001 como precondición referenciada.</t>
  </si>
  <si>
    <t>1. No describe el flujo de "Mis Propuestas" mencionado en comentarios. 2. No especifica qué ocurre si el WhatsApp del presidente no está disponible. 3. No define límite de propuestas por socio por período.</t>
  </si>
  <si>
    <t>Prioridad declarada como "Media", diferenciada correctamente de los CU.</t>
  </si>
  <si>
    <t>1. El paso 19 tiene numeración incorrecta (debería ser 9).                                                                                                                       2. "Vista mensual interactiva" no especifica si es navegable con scroll o solo con botones.                                                                     3. "Exportar a iCal o Google Calendar" no detalla si es descarga o sincronización.</t>
  </si>
  <si>
    <t>Error de numeración (paso 19 en lugar de 9) indica falta de revisión. Sin control de versiones visible.</t>
  </si>
  <si>
    <t>1. Filtros por tipo de evento son testables.                                     2. Notificaciones en tiempos configurados son verificables.                                                                                           3. Mensaje de "no hay eventos" es comprobable.</t>
  </si>
  <si>
    <t>No referencia explícitamente CU-001 (precondición de autenticación) ni los CU de creación de eventos que alimentan el calendario.</t>
  </si>
  <si>
    <t>1. No especifica qué ocurre si el socio no tiene permisos para ver ciertos eventos.                                                                                                  2. El flujo de exportación (iCal/Google Calendar) no tiene su propia secuencia ni excepciones.</t>
  </si>
  <si>
    <t xml:space="preserve">
1. No menciona la duración máxima del intento de inicio de sesión si no se especifica un límite de tiempo.
2. No se menciona de qué sucede si el usuario no tiene acceso.
3. Podría explicar mejor las opciones de recuperación de cuenta o alternativas si el usuario olvida su contraseña.</t>
  </si>
  <si>
    <t>1. El cumplimiento de este requisito puede ser verificado. Los pasos están bien definidos, y puedes probar el flujo de inicio de sesión y las verificaciones de contraseñas, tokens y estado del usuario.</t>
  </si>
  <si>
    <t>¿El caso de uso define adecuadamente los escenarios en los que el usuario no tiene acceso y cómo se manejarán esos casos?</t>
  </si>
  <si>
    <t>Incorporar detalles adicionales sobre las opciones de recuperación de cuenta, como el restablecimiento de contraseña o el contacto con un administrador, además de especificar el tiempo máximo de intento de inicio de sesión para evitar bloqueos indeterminados.</t>
  </si>
  <si>
    <t>¿Se ha considerado la necesidad de referencia explícita a los requisitos previos necesarios (como la autenticación) y la interacción con otros módulos, como la creación de eventos?</t>
  </si>
  <si>
    <t>Es crucial especificar explícitamente los pasos de autenticación y cómo se relaciona con los módulos de creación de eventos, que son esenciales para alimentar el calendario de actividades.</t>
  </si>
  <si>
    <t>¿Está definido claramente el comportamiento del sistema cuando un usuario no tiene permisos para visualizar ciertos eventos?</t>
  </si>
  <si>
    <t>Definir y explicar claramente qué sucede cuando un usuario no tiene permisos para ciertos eventos, y proporcionar un mensaje de error o advertencia adecuado para el usuario en ese caso.</t>
  </si>
  <si>
    <t>¿Se ha detallado correctamente el flujo de exportación de eventos y las opciones de sincronización (iCal/Google Calendar)?</t>
  </si>
  <si>
    <t>Debe incluirse más detalle sobre cómo se realiza la exportación de eventos, especificando si se permite la sincronización o descarga, y si existen excepciones a este proceso.</t>
  </si>
  <si>
    <t>¿Se ha revisado la numeración y secuencia de los pasos en el caso de uso para asegurar que no haya errores ni confusión?</t>
  </si>
  <si>
    <t>Es importante corregir la numeración de los pasos en el flujo de trabajo, asegurando que cada acción esté correctamente ordenada y revisada para evitar confusiones. También, se debe añadir un control de versiones visible para mejorar el seguimiento.</t>
  </si>
  <si>
    <t>¿Se hace referencia explícita a los casos de uso anteriores que gestionan la propuesta, como la evaluación o aprobación por el presidente?</t>
  </si>
  <si>
    <t>Es importante que el caso de uso referencie explícitamente los casos de uso previos que gestionan las actividades posteriores, como la evaluación y aprobación de la propuesta, para dar claridad sobre el flujo completo.</t>
  </si>
  <si>
    <t>¿Se describen correctamente los flujos posteriores a la propuesta, como la aprobación por el presidente o los límites de propuestas por socio?</t>
  </si>
  <si>
    <t>El caso de uso debe detallar de manera clara los flujos de aprobación o acciones de seguimiento de la propuesta (como WhatsApp del presidente o límites de propuestas por socio). Además, debe aclararse qué sucede si un canal como WhatsApp no está disponible.</t>
  </si>
  <si>
    <t>¿Se especifica el límite de propuestas por socio y el flujo correcto de las mismas para asegurar una distribución equitativa?</t>
  </si>
  <si>
    <t>Es importante que el caso de uso defina un límite claro de propuestas por socio para evitar excesos y asegurar una distribución equitativa de las propuestas. También debe detallarse el flujo correcto en el sistema para asegurar que el socio solo pueda presentar propuestas dentro de esos límites.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</si>
</sst>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scheme val="minor"/>
    </font>
    <font>
      <sz val="8"/>
      <color theme="1"/>
      <name val="Arial"/>
    </font>
    <font>
      <b/>
      <sz val="18"/>
      <color rgb="FF1F497D"/>
      <name val="Calibri"/>
    </font>
    <font>
      <sz val="11"/>
      <name val="Calibri"/>
    </font>
    <font>
      <b/>
      <sz val="18"/>
      <color theme="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b/>
      <sz val="16"/>
      <color rgb="FFFFFFFF"/>
      <name val="Calibri"/>
    </font>
    <font>
      <b/>
      <sz val="14"/>
      <color theme="1"/>
      <name val="Calibri"/>
    </font>
    <font>
      <sz val="14"/>
      <color theme="1"/>
      <name val="Calibri"/>
    </font>
    <font>
      <b/>
      <sz val="18"/>
      <color rgb="FFFA7D00"/>
      <name val="Calibri"/>
    </font>
    <font>
      <b/>
      <sz val="11"/>
      <color rgb="FF000000"/>
      <name val="Calibri"/>
    </font>
    <font>
      <b/>
      <sz val="11"/>
      <color theme="1"/>
      <name val="Calibri"/>
    </font>
    <font>
      <sz val="11"/>
      <color theme="1"/>
      <name val="Calibri"/>
      <family val="2"/>
    </font>
    <font>
      <b/>
      <sz val="11"/>
      <color theme="1"/>
      <name val="Arial"/>
      <family val="2"/>
    </font>
    <font>
      <b/>
      <sz val="12"/>
      <color theme="1"/>
      <name val="Arial"/>
      <family val="2"/>
    </font>
    <font>
      <b/>
      <sz val="16"/>
      <color theme="1"/>
      <name val="Calibri"/>
      <family val="2"/>
      <scheme val="minor"/>
    </font>
    <font>
      <b/>
      <sz val="12"/>
      <color rgb="FFFFFFFF"/>
      <name val="Calibri"/>
      <family val="2"/>
      <scheme val="minor"/>
    </font>
    <font>
      <b/>
      <sz val="18"/>
      <color theme="1"/>
      <name val="Arial"/>
      <family val="2"/>
    </font>
    <font>
      <b/>
      <sz val="12"/>
      <color rgb="FFFFFFFF"/>
      <name val="Calibri"/>
      <family val="2"/>
    </font>
    <font>
      <b/>
      <sz val="16"/>
      <color theme="1"/>
      <name val="Calibri"/>
      <family val="2"/>
    </font>
    <font>
      <sz val="14"/>
      <color theme="1"/>
      <name val="Calibri"/>
      <family val="2"/>
    </font>
    <font>
      <b/>
      <sz val="11"/>
      <color rgb="FF000000"/>
      <name val="Calibri"/>
      <family val="2"/>
    </font>
  </fonts>
  <fills count="14">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B8CCE4"/>
        <bgColor rgb="FFB8CCE4"/>
      </patternFill>
    </fill>
    <fill>
      <patternFill patternType="solid">
        <fgColor theme="0"/>
        <bgColor theme="0"/>
      </patternFill>
    </fill>
    <fill>
      <patternFill patternType="solid">
        <fgColor rgb="FFC2D69B"/>
        <bgColor rgb="FFC2D69B"/>
      </patternFill>
    </fill>
    <fill>
      <patternFill patternType="solid">
        <fgColor rgb="FFD8D8D8"/>
        <bgColor indexed="64"/>
      </patternFill>
    </fill>
    <fill>
      <patternFill patternType="solid">
        <fgColor rgb="FF92D050"/>
        <bgColor indexed="64"/>
      </patternFill>
    </fill>
    <fill>
      <patternFill patternType="solid">
        <fgColor rgb="FF4F81BD"/>
        <bgColor indexed="64"/>
      </patternFill>
    </fill>
    <fill>
      <patternFill patternType="solid">
        <fgColor rgb="FFFF0000"/>
        <bgColor indexed="64"/>
      </patternFill>
    </fill>
    <fill>
      <patternFill patternType="solid">
        <fgColor rgb="FFFF0000"/>
        <bgColor rgb="FF92D050"/>
      </patternFill>
    </fill>
    <fill>
      <patternFill patternType="solid">
        <fgColor rgb="FF92D050"/>
        <bgColor rgb="FFFF0000"/>
      </patternFill>
    </fill>
  </fills>
  <borders count="22">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s>
  <cellStyleXfs count="1">
    <xf numFmtId="0" fontId="0" fillId="0" borderId="0"/>
  </cellStyleXfs>
  <cellXfs count="82">
    <xf numFmtId="0" fontId="0" fillId="0" borderId="0" xfId="0" applyFont="1" applyAlignment="1"/>
    <xf numFmtId="0" fontId="1" fillId="0" borderId="0" xfId="0" applyFont="1" applyAlignment="1">
      <alignment horizontal="center"/>
    </xf>
    <xf numFmtId="0" fontId="7" fillId="0" borderId="7" xfId="0" applyFont="1" applyBorder="1"/>
    <xf numFmtId="0" fontId="8" fillId="3" borderId="9"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10" fillId="3" borderId="10" xfId="0" applyFont="1" applyFill="1" applyBorder="1" applyAlignment="1">
      <alignment horizontal="left" vertical="center" wrapText="1"/>
    </xf>
    <xf numFmtId="0" fontId="9" fillId="4" borderId="7" xfId="0" applyFont="1" applyFill="1" applyBorder="1" applyAlignment="1">
      <alignment horizontal="center" vertical="center" wrapText="1"/>
    </xf>
    <xf numFmtId="0" fontId="7" fillId="0" borderId="0" xfId="0" applyFont="1"/>
    <xf numFmtId="0" fontId="10" fillId="3" borderId="7" xfId="0" applyFont="1" applyFill="1" applyBorder="1" applyAlignment="1">
      <alignment vertical="center" wrapText="1"/>
    </xf>
    <xf numFmtId="0" fontId="10" fillId="3" borderId="7"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11" xfId="0" applyFont="1" applyFill="1" applyBorder="1" applyAlignment="1">
      <alignment horizontal="left" vertical="center" wrapText="1"/>
    </xf>
    <xf numFmtId="0" fontId="7" fillId="0" borderId="0" xfId="0" applyFont="1" applyAlignment="1">
      <alignment vertical="top"/>
    </xf>
    <xf numFmtId="0" fontId="13" fillId="5" borderId="7" xfId="0" applyFont="1" applyFill="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wrapText="1"/>
    </xf>
    <xf numFmtId="0" fontId="7" fillId="6" borderId="7" xfId="0" applyFont="1" applyFill="1" applyBorder="1" applyAlignment="1">
      <alignment horizontal="center" vertical="center"/>
    </xf>
    <xf numFmtId="0" fontId="7" fillId="0" borderId="7" xfId="0" applyFont="1" applyBorder="1" applyAlignment="1">
      <alignment horizontal="center" vertical="center"/>
    </xf>
    <xf numFmtId="9" fontId="7" fillId="0" borderId="7" xfId="0" applyNumberFormat="1" applyFont="1" applyBorder="1"/>
    <xf numFmtId="0" fontId="12" fillId="0" borderId="0" xfId="0" applyFont="1" applyAlignment="1">
      <alignment horizontal="left" vertical="center"/>
    </xf>
    <xf numFmtId="9" fontId="7" fillId="0" borderId="0" xfId="0" applyNumberFormat="1" applyFont="1"/>
    <xf numFmtId="0" fontId="12" fillId="0" borderId="7" xfId="0" applyFont="1" applyBorder="1" applyAlignment="1">
      <alignment horizontal="center" vertical="center"/>
    </xf>
    <xf numFmtId="0" fontId="9" fillId="0" borderId="7" xfId="0" applyFont="1" applyBorder="1" applyAlignment="1">
      <alignment horizontal="center" vertical="center"/>
    </xf>
    <xf numFmtId="0" fontId="7" fillId="0" borderId="7" xfId="0" applyFont="1" applyBorder="1" applyAlignment="1">
      <alignment vertical="top"/>
    </xf>
    <xf numFmtId="0" fontId="7" fillId="0" borderId="7" xfId="0" applyFont="1" applyBorder="1" applyAlignment="1"/>
    <xf numFmtId="0" fontId="12" fillId="0" borderId="0" xfId="0" applyFont="1" applyAlignment="1">
      <alignment horizontal="center"/>
    </xf>
    <xf numFmtId="0" fontId="7" fillId="0" borderId="0" xfId="0" applyFont="1" applyAlignment="1"/>
    <xf numFmtId="0" fontId="15" fillId="7" borderId="7" xfId="0" applyFont="1" applyFill="1" applyBorder="1" applyAlignment="1">
      <alignment horizontal="center" vertical="center"/>
    </xf>
    <xf numFmtId="0" fontId="15" fillId="7" borderId="7" xfId="0" applyFont="1" applyFill="1" applyBorder="1" applyAlignment="1">
      <alignment horizontal="center" vertical="center"/>
    </xf>
    <xf numFmtId="0" fontId="3" fillId="0" borderId="4" xfId="0" applyFont="1" applyBorder="1"/>
    <xf numFmtId="0" fontId="3" fillId="0" borderId="5" xfId="0" applyFont="1" applyBorder="1"/>
    <xf numFmtId="0" fontId="12" fillId="0" borderId="3" xfId="0" applyFont="1" applyBorder="1" applyAlignment="1">
      <alignment horizontal="left" vertical="top"/>
    </xf>
    <xf numFmtId="0" fontId="13" fillId="0" borderId="3" xfId="0" applyFont="1" applyBorder="1" applyAlignment="1">
      <alignment horizontal="left" vertical="top" wrapText="1"/>
    </xf>
    <xf numFmtId="0" fontId="12" fillId="0" borderId="3" xfId="0" applyFont="1" applyBorder="1" applyAlignment="1">
      <alignment horizontal="left"/>
    </xf>
    <xf numFmtId="15" fontId="13" fillId="0" borderId="3" xfId="0" applyNumberFormat="1" applyFont="1" applyBorder="1" applyAlignment="1">
      <alignment horizontal="left" wrapText="1"/>
    </xf>
    <xf numFmtId="0" fontId="13" fillId="0" borderId="3" xfId="0" applyFont="1" applyBorder="1" applyAlignment="1">
      <alignment horizontal="left" wrapText="1"/>
    </xf>
    <xf numFmtId="0" fontId="12" fillId="0" borderId="3" xfId="0" applyFont="1" applyBorder="1" applyAlignment="1">
      <alignment horizontal="left" vertical="center"/>
    </xf>
    <xf numFmtId="0" fontId="12" fillId="0" borderId="3" xfId="0" applyFont="1" applyBorder="1" applyAlignment="1">
      <alignment horizontal="center"/>
    </xf>
    <xf numFmtId="0" fontId="14" fillId="0" borderId="3" xfId="0" applyFont="1" applyBorder="1" applyAlignment="1">
      <alignment horizontal="center" vertical="center"/>
    </xf>
    <xf numFmtId="0" fontId="15" fillId="7" borderId="0" xfId="0" applyFont="1" applyFill="1" applyAlignment="1">
      <alignment horizontal="center" vertical="center"/>
    </xf>
    <xf numFmtId="0" fontId="0" fillId="0" borderId="0" xfId="0" applyFont="1" applyAlignment="1"/>
    <xf numFmtId="0" fontId="20" fillId="9" borderId="12" xfId="0" applyFont="1" applyFill="1" applyBorder="1" applyAlignment="1">
      <alignment horizontal="center" vertical="center" wrapText="1"/>
    </xf>
    <xf numFmtId="0" fontId="21" fillId="10" borderId="13" xfId="0" applyFont="1" applyFill="1" applyBorder="1" applyAlignment="1">
      <alignment vertical="center" wrapText="1"/>
    </xf>
    <xf numFmtId="0" fontId="20" fillId="11" borderId="12" xfId="0" applyFont="1" applyFill="1" applyBorder="1" applyAlignment="1">
      <alignment horizontal="center" vertical="center" wrapText="1"/>
    </xf>
    <xf numFmtId="0" fontId="18" fillId="8" borderId="12" xfId="0" applyFont="1" applyFill="1" applyBorder="1" applyAlignment="1">
      <alignment horizontal="center" vertical="center" wrapText="1"/>
    </xf>
    <xf numFmtId="0" fontId="19" fillId="8" borderId="12"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2" fillId="0" borderId="16" xfId="0" applyFont="1" applyBorder="1" applyAlignment="1">
      <alignment horizontal="center" vertical="center" wrapText="1"/>
    </xf>
    <xf numFmtId="0" fontId="4" fillId="0" borderId="15" xfId="0" applyFont="1" applyBorder="1" applyAlignment="1">
      <alignment horizontal="center" vertical="center" wrapText="1"/>
    </xf>
    <xf numFmtId="0" fontId="3" fillId="0" borderId="0" xfId="0" applyFont="1" applyBorder="1"/>
    <xf numFmtId="0" fontId="4" fillId="0" borderId="17" xfId="0" applyFont="1" applyBorder="1" applyAlignment="1">
      <alignment horizontal="left" vertical="center" wrapText="1"/>
    </xf>
    <xf numFmtId="0" fontId="5" fillId="2" borderId="18"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18" fillId="8" borderId="21"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22" fillId="2" borderId="16" xfId="0" applyFont="1" applyFill="1" applyBorder="1" applyAlignment="1">
      <alignment horizontal="center" vertical="center"/>
    </xf>
    <xf numFmtId="0" fontId="23" fillId="3" borderId="7" xfId="0" applyFont="1" applyFill="1" applyBorder="1" applyAlignment="1">
      <alignment vertical="center" wrapText="1"/>
    </xf>
    <xf numFmtId="0" fontId="24" fillId="13" borderId="7" xfId="0" applyFont="1" applyFill="1" applyBorder="1" applyAlignment="1">
      <alignment horizontal="center" vertical="center" wrapText="1"/>
    </xf>
    <xf numFmtId="0" fontId="24" fillId="4" borderId="7" xfId="0" applyFont="1" applyFill="1" applyBorder="1" applyAlignment="1">
      <alignment horizontal="center" vertical="center" wrapText="1"/>
    </xf>
    <xf numFmtId="0" fontId="23" fillId="3" borderId="7" xfId="0" applyFont="1" applyFill="1" applyBorder="1" applyAlignment="1">
      <alignment horizontal="left" vertical="center" wrapText="1"/>
    </xf>
    <xf numFmtId="0" fontId="24" fillId="12" borderId="7" xfId="0" applyFont="1" applyFill="1" applyBorder="1" applyAlignment="1">
      <alignment horizontal="center" vertical="center" wrapText="1"/>
    </xf>
    <xf numFmtId="0" fontId="23" fillId="3" borderId="11" xfId="0" applyFont="1" applyFill="1" applyBorder="1" applyAlignment="1">
      <alignment horizontal="left" vertical="center" wrapText="1"/>
    </xf>
    <xf numFmtId="0" fontId="17" fillId="0" borderId="7" xfId="0" applyFont="1" applyBorder="1" applyAlignment="1">
      <alignment horizontal="center" vertical="center"/>
    </xf>
    <xf numFmtId="0" fontId="25" fillId="0" borderId="3" xfId="0" applyFont="1" applyBorder="1" applyAlignment="1">
      <alignment horizontal="left" wrapText="1"/>
    </xf>
    <xf numFmtId="0" fontId="17" fillId="0" borderId="7" xfId="0" applyFont="1" applyBorder="1" applyAlignment="1">
      <alignment wrapText="1"/>
    </xf>
    <xf numFmtId="0" fontId="17" fillId="0" borderId="11" xfId="0" applyFont="1" applyBorder="1" applyAlignment="1">
      <alignment wrapText="1"/>
    </xf>
    <xf numFmtId="0" fontId="16" fillId="7" borderId="6" xfId="0" applyFont="1" applyFill="1" applyBorder="1" applyAlignment="1">
      <alignment horizontal="center" vertical="center"/>
    </xf>
    <xf numFmtId="0" fontId="17" fillId="0" borderId="16" xfId="0" applyFont="1" applyBorder="1" applyAlignment="1">
      <alignment wrapText="1"/>
    </xf>
    <xf numFmtId="0" fontId="15" fillId="7" borderId="2" xfId="0" applyFont="1" applyFill="1" applyBorder="1" applyAlignment="1">
      <alignment horizontal="center" vertical="center"/>
    </xf>
    <xf numFmtId="0" fontId="26" fillId="7" borderId="2" xfId="0" applyFont="1" applyFill="1" applyBorder="1" applyAlignment="1">
      <alignment horizontal="center" vertical="center"/>
    </xf>
    <xf numFmtId="0" fontId="26" fillId="7" borderId="0" xfId="0" applyFont="1" applyFill="1" applyAlignment="1">
      <alignment horizontal="center" vertical="center"/>
    </xf>
  </cellXfs>
  <cellStyles count="1">
    <cellStyle name="Normal" xfId="0" builtinId="0"/>
  </cellStyles>
  <dxfs count="51">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CU-style" pivot="0" count="3" xr9:uid="{00000000-0011-0000-FFFF-FFFF00000000}">
      <tableStyleElement type="headerRow" dxfId="50"/>
      <tableStyleElement type="firstRowStripe" dxfId="49"/>
      <tableStyleElement type="secondRowStripe" dxfId="48"/>
    </tableStyle>
    <tableStyle name="MODELO LISTA DE COMPROBACION CU-style 2" pivot="0" count="3" xr9:uid="{00000000-0011-0000-FFFF-FFFF01000000}">
      <tableStyleElement type="headerRow" dxfId="47"/>
      <tableStyleElement type="firstRowStripe" dxfId="46"/>
      <tableStyleElement type="secondRowStripe" dxfId="45"/>
    </tableStyle>
    <tableStyle name="MODELO LISTA DE COMPROBACION CU-style 3" pivot="0" count="3" xr9:uid="{00000000-0011-0000-FFFF-FFFF02000000}">
      <tableStyleElement type="headerRow" dxfId="44"/>
      <tableStyleElement type="firstRowStripe" dxfId="43"/>
      <tableStyleElement type="secondRowStripe" dxfId="42"/>
    </tableStyle>
    <tableStyle name="Hoja 1-style" pivot="0" count="3" xr9:uid="{00000000-0011-0000-FFFF-FFFF03000000}">
      <tableStyleElement type="headerRow" dxfId="41"/>
      <tableStyleElement type="firstRowStripe" dxfId="40"/>
      <tableStyleElement type="secondRowStripe" dxfId="39"/>
    </tableStyle>
    <tableStyle name="Hoja 1-style 2" pivot="0" count="3" xr9:uid="{00000000-0011-0000-FFFF-FFFF04000000}">
      <tableStyleElement type="headerRow" dxfId="38"/>
      <tableStyleElement type="firstRowStripe" dxfId="37"/>
      <tableStyleElement type="secondRowStripe" dxfId="36"/>
    </tableStyle>
    <tableStyle name="Hoja 1-style 3" pivot="0" count="3" xr9:uid="{00000000-0011-0000-FFFF-FFFF05000000}">
      <tableStyleElement type="headerRow" dxfId="35"/>
      <tableStyleElement type="firstRowStripe" dxfId="34"/>
      <tableStyleElement type="secondRowStripe" dxfId="33"/>
    </tableStyle>
    <tableStyle name="Hoja 2-style" pivot="0" count="3" xr9:uid="{00000000-0011-0000-FFFF-FFFF06000000}">
      <tableStyleElement type="headerRow" dxfId="32"/>
      <tableStyleElement type="firstRowStripe" dxfId="31"/>
      <tableStyleElement type="secondRowStripe" dxfId="30"/>
    </tableStyle>
    <tableStyle name="Hoja 2-style 2" pivot="0" count="3" xr9:uid="{00000000-0011-0000-FFFF-FFFF07000000}">
      <tableStyleElement type="headerRow" dxfId="29"/>
      <tableStyleElement type="firstRowStripe" dxfId="28"/>
      <tableStyleElement type="secondRowStripe" dxfId="27"/>
    </tableStyle>
    <tableStyle name="Hoja 2-style 3" pivot="0" count="3" xr9:uid="{00000000-0011-0000-FFFF-FFFF08000000}">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DEBF-4C72-89D5-9B4BF907EBAD}"/>
              </c:ext>
            </c:extLst>
          </c:dPt>
          <c:dPt>
            <c:idx val="1"/>
            <c:bubble3D val="0"/>
            <c:spPr>
              <a:solidFill>
                <a:srgbClr val="C0504D"/>
              </a:solidFill>
            </c:spPr>
            <c:extLst>
              <c:ext xmlns:c16="http://schemas.microsoft.com/office/drawing/2014/chart" uri="{C3380CC4-5D6E-409C-BE32-E72D297353CC}">
                <c16:uniqueId val="{00000003-DEBF-4C72-89D5-9B4BF907EBAD}"/>
              </c:ext>
            </c:extLst>
          </c:dPt>
          <c:dPt>
            <c:idx val="2"/>
            <c:bubble3D val="0"/>
            <c:spPr>
              <a:solidFill>
                <a:srgbClr val="9BBB59"/>
              </a:solidFill>
            </c:spPr>
            <c:extLst>
              <c:ext xmlns:c16="http://schemas.microsoft.com/office/drawing/2014/chart" uri="{C3380CC4-5D6E-409C-BE32-E72D297353CC}">
                <c16:uniqueId val="{00000005-DEBF-4C72-89D5-9B4BF907EB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1'!$B$41:$B$43</c:f>
              <c:strCache>
                <c:ptCount val="3"/>
                <c:pt idx="0">
                  <c:v>CONTENIDO </c:v>
                </c:pt>
                <c:pt idx="1">
                  <c:v>DOCUMENTACIÓN</c:v>
                </c:pt>
                <c:pt idx="2">
                  <c:v>NIVEL DE ACUERDO</c:v>
                </c:pt>
              </c:strCache>
            </c:strRef>
          </c:cat>
          <c:val>
            <c:numRef>
              <c:f>'MODELO LISTA DE COMPROBACION 1'!$C$41:$C$43</c:f>
              <c:numCache>
                <c:formatCode>General</c:formatCode>
                <c:ptCount val="3"/>
                <c:pt idx="0">
                  <c:v>89</c:v>
                </c:pt>
                <c:pt idx="1">
                  <c:v>100</c:v>
                </c:pt>
                <c:pt idx="2">
                  <c:v>100</c:v>
                </c:pt>
              </c:numCache>
            </c:numRef>
          </c:val>
          <c:extLst>
            <c:ext xmlns:c16="http://schemas.microsoft.com/office/drawing/2014/chart" uri="{C3380CC4-5D6E-409C-BE32-E72D297353CC}">
              <c16:uniqueId val="{00000006-DEBF-4C72-89D5-9B4BF907EBAD}"/>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a:solidFill>
                  <a:srgbClr val="757575"/>
                </a:solidFill>
                <a:latin typeface="+mn-lt"/>
              </a:defRPr>
            </a:pPr>
            <a:r>
              <a:rPr lang="es-EC" b="1">
                <a:solidFill>
                  <a:srgbClr val="757575"/>
                </a:solidFill>
                <a:latin typeface="+mn-lt"/>
              </a:rPr>
              <a:t>CRITERIO DE CALIDAD</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'MODELO LISTA DE COMPROBACION 2'!$C$40</c:f>
              <c:strCache>
                <c:ptCount val="1"/>
              </c:strCache>
            </c:strRef>
          </c:tx>
          <c:dPt>
            <c:idx val="0"/>
            <c:bubble3D val="0"/>
            <c:spPr>
              <a:solidFill>
                <a:srgbClr val="4F81BD"/>
              </a:solidFill>
            </c:spPr>
            <c:extLst>
              <c:ext xmlns:c16="http://schemas.microsoft.com/office/drawing/2014/chart" uri="{C3380CC4-5D6E-409C-BE32-E72D297353CC}">
                <c16:uniqueId val="{00000001-8C82-47B6-AA21-E072A515BB4D}"/>
              </c:ext>
            </c:extLst>
          </c:dPt>
          <c:dPt>
            <c:idx val="1"/>
            <c:bubble3D val="0"/>
            <c:spPr>
              <a:solidFill>
                <a:srgbClr val="C0504D"/>
              </a:solidFill>
            </c:spPr>
            <c:extLst>
              <c:ext xmlns:c16="http://schemas.microsoft.com/office/drawing/2014/chart" uri="{C3380CC4-5D6E-409C-BE32-E72D297353CC}">
                <c16:uniqueId val="{00000003-8C82-47B6-AA21-E072A515BB4D}"/>
              </c:ext>
            </c:extLst>
          </c:dPt>
          <c:dPt>
            <c:idx val="2"/>
            <c:bubble3D val="0"/>
            <c:spPr>
              <a:solidFill>
                <a:srgbClr val="9BBB59"/>
              </a:solidFill>
            </c:spPr>
            <c:extLst>
              <c:ext xmlns:c16="http://schemas.microsoft.com/office/drawing/2014/chart" uri="{C3380CC4-5D6E-409C-BE32-E72D297353CC}">
                <c16:uniqueId val="{00000005-8C82-47B6-AA21-E072A515BB4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2'!$B$41:$B$43</c:f>
              <c:strCache>
                <c:ptCount val="3"/>
                <c:pt idx="0">
                  <c:v>CONTENIDO </c:v>
                </c:pt>
                <c:pt idx="1">
                  <c:v>DOCUMENTACIÓN</c:v>
                </c:pt>
                <c:pt idx="2">
                  <c:v>NIVEL DE ACUERDO</c:v>
                </c:pt>
              </c:strCache>
            </c:strRef>
          </c:cat>
          <c:val>
            <c:numRef>
              <c:f>'MODELO LISTA DE COMPROBACION 2'!$C$41:$C$43</c:f>
              <c:numCache>
                <c:formatCode>General</c:formatCode>
                <c:ptCount val="3"/>
                <c:pt idx="0">
                  <c:v>89</c:v>
                </c:pt>
                <c:pt idx="1">
                  <c:v>80</c:v>
                </c:pt>
                <c:pt idx="2">
                  <c:v>67</c:v>
                </c:pt>
              </c:numCache>
            </c:numRef>
          </c:val>
          <c:extLst>
            <c:ext xmlns:c16="http://schemas.microsoft.com/office/drawing/2014/chart" uri="{C3380CC4-5D6E-409C-BE32-E72D297353CC}">
              <c16:uniqueId val="{00000006-8C82-47B6-AA21-E072A515BB4D}"/>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4B55-465F-B864-1DF392118E1A}"/>
              </c:ext>
            </c:extLst>
          </c:dPt>
          <c:dPt>
            <c:idx val="1"/>
            <c:bubble3D val="0"/>
            <c:spPr>
              <a:solidFill>
                <a:srgbClr val="C0504D"/>
              </a:solidFill>
            </c:spPr>
            <c:extLst>
              <c:ext xmlns:c16="http://schemas.microsoft.com/office/drawing/2014/chart" uri="{C3380CC4-5D6E-409C-BE32-E72D297353CC}">
                <c16:uniqueId val="{00000003-4B55-465F-B864-1DF392118E1A}"/>
              </c:ext>
            </c:extLst>
          </c:dPt>
          <c:dPt>
            <c:idx val="2"/>
            <c:bubble3D val="0"/>
            <c:spPr>
              <a:solidFill>
                <a:srgbClr val="9BBB59"/>
              </a:solidFill>
            </c:spPr>
            <c:extLst>
              <c:ext xmlns:c16="http://schemas.microsoft.com/office/drawing/2014/chart" uri="{C3380CC4-5D6E-409C-BE32-E72D297353CC}">
                <c16:uniqueId val="{00000005-4B55-465F-B864-1DF392118E1A}"/>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3'!$B$41:$B$43</c:f>
              <c:strCache>
                <c:ptCount val="3"/>
                <c:pt idx="0">
                  <c:v>CONTENIDO </c:v>
                </c:pt>
                <c:pt idx="1">
                  <c:v>DOCUMENTACIÓN</c:v>
                </c:pt>
                <c:pt idx="2">
                  <c:v>NIVEL DE ACUERDO</c:v>
                </c:pt>
              </c:strCache>
            </c:strRef>
          </c:cat>
          <c:val>
            <c:numRef>
              <c:f>'MODELO LISTA DE COMPROBACION 3'!$C$41:$C$43</c:f>
              <c:numCache>
                <c:formatCode>General</c:formatCode>
                <c:ptCount val="3"/>
                <c:pt idx="0">
                  <c:v>89</c:v>
                </c:pt>
                <c:pt idx="1">
                  <c:v>100</c:v>
                </c:pt>
                <c:pt idx="2">
                  <c:v>67</c:v>
                </c:pt>
              </c:numCache>
            </c:numRef>
          </c:val>
          <c:extLst>
            <c:ext xmlns:c16="http://schemas.microsoft.com/office/drawing/2014/chart" uri="{C3380CC4-5D6E-409C-BE32-E72D297353CC}">
              <c16:uniqueId val="{00000006-4B55-465F-B864-1DF392118E1A}"/>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295275</xdr:colOff>
      <xdr:row>43</xdr:row>
      <xdr:rowOff>133350</xdr:rowOff>
    </xdr:from>
    <xdr:ext cx="4286250" cy="2143125"/>
    <xdr:graphicFrame macro="">
      <xdr:nvGraphicFramePr>
        <xdr:cNvPr id="1650653329" name="Chart 1" title="Gráfico">
          <a:extLst>
            <a:ext uri="{FF2B5EF4-FFF2-40B4-BE49-F238E27FC236}">
              <a16:creationId xmlns:a16="http://schemas.microsoft.com/office/drawing/2014/main" id="{00000000-0008-0000-0100-000091F86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647700</xdr:colOff>
      <xdr:row>43</xdr:row>
      <xdr:rowOff>133350</xdr:rowOff>
    </xdr:from>
    <xdr:ext cx="4286250" cy="2143125"/>
    <xdr:pic>
      <xdr:nvPicPr>
        <xdr:cNvPr id="704550861" name="Chart2" title="Gráfico">
          <a:extLst>
            <a:ext uri="{FF2B5EF4-FFF2-40B4-BE49-F238E27FC236}">
              <a16:creationId xmlns:a16="http://schemas.microsoft.com/office/drawing/2014/main" id="{00000000-0008-0000-0100-0000CD97FE2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295275</xdr:colOff>
      <xdr:row>43</xdr:row>
      <xdr:rowOff>133350</xdr:rowOff>
    </xdr:from>
    <xdr:ext cx="4286250" cy="2143125"/>
    <xdr:pic>
      <xdr:nvPicPr>
        <xdr:cNvPr id="1013561517" name="Chart5" title="Gráfico">
          <a:extLst>
            <a:ext uri="{FF2B5EF4-FFF2-40B4-BE49-F238E27FC236}">
              <a16:creationId xmlns:a16="http://schemas.microsoft.com/office/drawing/2014/main" id="{00000000-0008-0000-0300-0000ADB8693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295275</xdr:colOff>
      <xdr:row>43</xdr:row>
      <xdr:rowOff>133350</xdr:rowOff>
    </xdr:from>
    <xdr:ext cx="4286250" cy="2143125"/>
    <xdr:pic>
      <xdr:nvPicPr>
        <xdr:cNvPr id="1395452967" name="Chart6" title="Gráfico">
          <a:extLst>
            <a:ext uri="{FF2B5EF4-FFF2-40B4-BE49-F238E27FC236}">
              <a16:creationId xmlns:a16="http://schemas.microsoft.com/office/drawing/2014/main" id="{00000000-0008-0000-0300-000027EC2C5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295275</xdr:colOff>
      <xdr:row>43</xdr:row>
      <xdr:rowOff>133350</xdr:rowOff>
    </xdr:from>
    <xdr:ext cx="4286250" cy="2143125"/>
    <xdr:graphicFrame macro="">
      <xdr:nvGraphicFramePr>
        <xdr:cNvPr id="214191694" name="Chart 7" title="Gráfico">
          <a:extLst>
            <a:ext uri="{FF2B5EF4-FFF2-40B4-BE49-F238E27FC236}">
              <a16:creationId xmlns:a16="http://schemas.microsoft.com/office/drawing/2014/main" id="{00000000-0008-0000-0300-00004E4EC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295275</xdr:colOff>
      <xdr:row>43</xdr:row>
      <xdr:rowOff>133350</xdr:rowOff>
    </xdr:from>
    <xdr:ext cx="4286250" cy="2143125"/>
    <xdr:pic>
      <xdr:nvPicPr>
        <xdr:cNvPr id="643172238" name="Chart3" title="Gráfico">
          <a:extLst>
            <a:ext uri="{FF2B5EF4-FFF2-40B4-BE49-F238E27FC236}">
              <a16:creationId xmlns:a16="http://schemas.microsoft.com/office/drawing/2014/main" id="{00000000-0008-0000-0200-00008E07562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295275</xdr:colOff>
      <xdr:row>43</xdr:row>
      <xdr:rowOff>133350</xdr:rowOff>
    </xdr:from>
    <xdr:ext cx="4286250" cy="2143125"/>
    <xdr:graphicFrame macro="">
      <xdr:nvGraphicFramePr>
        <xdr:cNvPr id="867596106" name="Chart 4" title="Gráfico">
          <a:extLst>
            <a:ext uri="{FF2B5EF4-FFF2-40B4-BE49-F238E27FC236}">
              <a16:creationId xmlns:a16="http://schemas.microsoft.com/office/drawing/2014/main" id="{00000000-0008-0000-0200-00004A77B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CU-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CU-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CU-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Hoja 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Hoja 2-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Hoja 2-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Hoja 1-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Hoja 1-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Hoja 1-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00"/>
  <sheetViews>
    <sheetView showGridLines="0" topLeftCell="D14" zoomScale="64" zoomScaleNormal="70" workbookViewId="0">
      <selection activeCell="J7" sqref="J7:J8"/>
    </sheetView>
  </sheetViews>
  <sheetFormatPr baseColWidth="10" defaultColWidth="14.453125" defaultRowHeight="15" customHeight="1" x14ac:dyDescent="0.35"/>
  <cols>
    <col min="1" max="1" width="4.54296875" customWidth="1"/>
    <col min="2" max="2" width="4.453125" customWidth="1"/>
    <col min="3" max="3" width="3.7265625" customWidth="1"/>
    <col min="4" max="4" width="34.81640625" customWidth="1"/>
    <col min="5" max="5" width="9.7265625" customWidth="1"/>
    <col min="6" max="6" width="42.7265625" customWidth="1"/>
    <col min="7" max="7" width="9.81640625" customWidth="1"/>
    <col min="8" max="8" width="54" customWidth="1"/>
    <col min="10" max="10" width="41.08984375" customWidth="1"/>
  </cols>
  <sheetData>
    <row r="1" spans="2:10" ht="14.25" customHeight="1" x14ac:dyDescent="0.35">
      <c r="C1" s="1"/>
    </row>
    <row r="2" spans="2:10" ht="14.25" customHeight="1" x14ac:dyDescent="0.35">
      <c r="C2" s="1"/>
    </row>
    <row r="3" spans="2:10" ht="30" customHeight="1" x14ac:dyDescent="0.35">
      <c r="B3" s="55" t="s">
        <v>0</v>
      </c>
      <c r="C3" s="55"/>
      <c r="D3" s="55"/>
      <c r="E3" s="55"/>
      <c r="F3" s="55"/>
      <c r="G3" s="55"/>
      <c r="H3" s="55"/>
      <c r="I3" s="55"/>
      <c r="J3" s="55"/>
    </row>
    <row r="4" spans="2:10" ht="30" customHeight="1" x14ac:dyDescent="0.35">
      <c r="B4" s="55"/>
      <c r="C4" s="55"/>
      <c r="D4" s="55"/>
      <c r="E4" s="55"/>
      <c r="F4" s="55"/>
      <c r="G4" s="55"/>
      <c r="H4" s="55"/>
      <c r="I4" s="55"/>
      <c r="J4" s="55"/>
    </row>
    <row r="5" spans="2:10" ht="51" customHeight="1" x14ac:dyDescent="0.35">
      <c r="B5" s="56" t="s">
        <v>1</v>
      </c>
      <c r="C5" s="57"/>
      <c r="D5" s="57"/>
      <c r="E5" s="58" t="s">
        <v>2</v>
      </c>
      <c r="F5" s="58"/>
      <c r="G5" s="58"/>
      <c r="H5" s="58"/>
      <c r="I5" s="58"/>
      <c r="J5" s="58"/>
    </row>
    <row r="6" spans="2:10" ht="55.5" customHeight="1" x14ac:dyDescent="0.35">
      <c r="B6" s="66" t="s">
        <v>3</v>
      </c>
      <c r="C6" s="66"/>
      <c r="D6" s="66"/>
      <c r="E6" s="66"/>
      <c r="F6" s="66"/>
      <c r="G6" s="66"/>
      <c r="H6" s="66"/>
      <c r="I6" s="66"/>
      <c r="J6" s="66"/>
    </row>
    <row r="7" spans="2:10" ht="45" customHeight="1" x14ac:dyDescent="0.35">
      <c r="B7" s="59" t="s">
        <v>4</v>
      </c>
      <c r="C7" s="60" t="s">
        <v>5</v>
      </c>
      <c r="D7" s="61"/>
      <c r="E7" s="62" t="s">
        <v>6</v>
      </c>
      <c r="F7" s="59" t="s">
        <v>7</v>
      </c>
      <c r="G7" s="62" t="s">
        <v>6</v>
      </c>
      <c r="H7" s="63" t="s">
        <v>8</v>
      </c>
      <c r="I7" s="64" t="s">
        <v>6</v>
      </c>
      <c r="J7" s="65" t="s">
        <v>71</v>
      </c>
    </row>
    <row r="8" spans="2:10" ht="60" customHeight="1" thickBot="1" x14ac:dyDescent="0.4">
      <c r="B8" s="48"/>
      <c r="C8" s="49"/>
      <c r="D8" s="50"/>
      <c r="E8" s="47"/>
      <c r="F8" s="48"/>
      <c r="G8" s="47"/>
      <c r="H8" s="46"/>
      <c r="I8" s="44"/>
      <c r="J8" s="45"/>
    </row>
    <row r="9" spans="2:10" ht="87.5" customHeight="1" thickBot="1" x14ac:dyDescent="0.4">
      <c r="B9" s="3">
        <v>1</v>
      </c>
      <c r="C9" s="51" t="s">
        <v>9</v>
      </c>
      <c r="D9" s="52"/>
      <c r="E9" s="4" t="s">
        <v>10</v>
      </c>
      <c r="F9" s="5" t="s">
        <v>11</v>
      </c>
      <c r="G9" s="6" t="s">
        <v>10</v>
      </c>
      <c r="H9" s="5" t="s">
        <v>11</v>
      </c>
      <c r="I9" s="41" t="s">
        <v>10</v>
      </c>
      <c r="J9" s="42" t="s">
        <v>11</v>
      </c>
    </row>
    <row r="10" spans="2:10" ht="31.5" thickBot="1" x14ac:dyDescent="0.4">
      <c r="B10" s="3">
        <v>2</v>
      </c>
      <c r="C10" s="51" t="s">
        <v>12</v>
      </c>
      <c r="D10" s="52"/>
      <c r="E10" s="4" t="s">
        <v>10</v>
      </c>
      <c r="F10" s="8" t="s">
        <v>13</v>
      </c>
      <c r="G10" s="68" t="s">
        <v>10</v>
      </c>
      <c r="H10" s="67" t="s">
        <v>81</v>
      </c>
      <c r="I10" s="41" t="s">
        <v>10</v>
      </c>
      <c r="J10" s="42" t="s">
        <v>72</v>
      </c>
    </row>
    <row r="11" spans="2:10" ht="82.5" customHeight="1" thickBot="1" x14ac:dyDescent="0.4">
      <c r="B11" s="3">
        <v>3</v>
      </c>
      <c r="C11" s="51" t="s">
        <v>15</v>
      </c>
      <c r="D11" s="52"/>
      <c r="E11" s="4" t="s">
        <v>10</v>
      </c>
      <c r="F11" s="8" t="s">
        <v>16</v>
      </c>
      <c r="G11" s="71" t="s">
        <v>14</v>
      </c>
      <c r="H11" s="67" t="s">
        <v>82</v>
      </c>
      <c r="I11" s="41" t="s">
        <v>10</v>
      </c>
      <c r="J11" s="42" t="s">
        <v>73</v>
      </c>
    </row>
    <row r="12" spans="2:10" ht="107.5" customHeight="1" thickBot="1" x14ac:dyDescent="0.4">
      <c r="B12" s="3">
        <v>4</v>
      </c>
      <c r="C12" s="51" t="s">
        <v>17</v>
      </c>
      <c r="D12" s="52"/>
      <c r="E12" s="4" t="s">
        <v>10</v>
      </c>
      <c r="F12" s="9" t="s">
        <v>18</v>
      </c>
      <c r="G12" s="71" t="s">
        <v>14</v>
      </c>
      <c r="H12" s="70" t="s">
        <v>83</v>
      </c>
      <c r="I12" s="43" t="s">
        <v>14</v>
      </c>
      <c r="J12" s="42" t="s">
        <v>74</v>
      </c>
    </row>
    <row r="13" spans="2:10" ht="46.5" customHeight="1" thickBot="1" x14ac:dyDescent="0.4">
      <c r="B13" s="3">
        <v>5</v>
      </c>
      <c r="C13" s="51" t="s">
        <v>19</v>
      </c>
      <c r="D13" s="52"/>
      <c r="E13" s="4" t="s">
        <v>10</v>
      </c>
      <c r="F13" s="9" t="s">
        <v>20</v>
      </c>
      <c r="G13" s="69" t="s">
        <v>21</v>
      </c>
      <c r="H13" s="70" t="s">
        <v>20</v>
      </c>
      <c r="I13" s="41" t="s">
        <v>10</v>
      </c>
      <c r="J13" s="42" t="s">
        <v>75</v>
      </c>
    </row>
    <row r="14" spans="2:10" ht="113" customHeight="1" thickBot="1" x14ac:dyDescent="0.4">
      <c r="B14" s="3">
        <v>6</v>
      </c>
      <c r="C14" s="53" t="s">
        <v>22</v>
      </c>
      <c r="D14" s="54"/>
      <c r="E14" s="4" t="s">
        <v>10</v>
      </c>
      <c r="F14" s="70" t="s">
        <v>23</v>
      </c>
      <c r="G14" s="6" t="s">
        <v>10</v>
      </c>
      <c r="H14" s="9" t="s">
        <v>23</v>
      </c>
      <c r="I14" s="41" t="s">
        <v>10</v>
      </c>
      <c r="J14" s="42" t="s">
        <v>76</v>
      </c>
    </row>
    <row r="15" spans="2:10" ht="86" customHeight="1" thickBot="1" x14ac:dyDescent="0.4">
      <c r="B15" s="3">
        <v>7</v>
      </c>
      <c r="C15" s="51" t="s">
        <v>24</v>
      </c>
      <c r="D15" s="52"/>
      <c r="E15" s="68" t="s">
        <v>10</v>
      </c>
      <c r="F15" s="70" t="s">
        <v>88</v>
      </c>
      <c r="G15" s="68" t="s">
        <v>10</v>
      </c>
      <c r="H15" s="70" t="s">
        <v>84</v>
      </c>
      <c r="I15" s="41" t="s">
        <v>10</v>
      </c>
      <c r="J15" s="42" t="s">
        <v>77</v>
      </c>
    </row>
    <row r="16" spans="2:10" ht="87.5" customHeight="1" thickBot="1" x14ac:dyDescent="0.4">
      <c r="B16" s="3">
        <v>8</v>
      </c>
      <c r="C16" s="51" t="s">
        <v>25</v>
      </c>
      <c r="D16" s="52"/>
      <c r="E16" s="6" t="s">
        <v>10</v>
      </c>
      <c r="F16" s="10" t="s">
        <v>26</v>
      </c>
      <c r="G16" s="6" t="s">
        <v>10</v>
      </c>
      <c r="H16" s="10" t="s">
        <v>26</v>
      </c>
      <c r="I16" s="41" t="s">
        <v>10</v>
      </c>
      <c r="J16" s="42" t="s">
        <v>78</v>
      </c>
    </row>
    <row r="17" spans="2:10" ht="86.5" customHeight="1" thickBot="1" x14ac:dyDescent="0.4">
      <c r="B17" s="3">
        <v>9</v>
      </c>
      <c r="C17" s="51" t="s">
        <v>27</v>
      </c>
      <c r="D17" s="52"/>
      <c r="E17" s="4" t="s">
        <v>10</v>
      </c>
      <c r="F17" s="11" t="s">
        <v>28</v>
      </c>
      <c r="G17" s="71" t="s">
        <v>14</v>
      </c>
      <c r="H17" s="72" t="s">
        <v>85</v>
      </c>
      <c r="I17" s="43" t="s">
        <v>14</v>
      </c>
      <c r="J17" s="42" t="s">
        <v>79</v>
      </c>
    </row>
    <row r="18" spans="2:10" ht="140" thickBot="1" x14ac:dyDescent="0.4">
      <c r="B18" s="3">
        <v>10</v>
      </c>
      <c r="C18" s="51" t="s">
        <v>29</v>
      </c>
      <c r="D18" s="52"/>
      <c r="E18" s="71" t="s">
        <v>14</v>
      </c>
      <c r="F18" s="70" t="s">
        <v>87</v>
      </c>
      <c r="G18" s="71" t="s">
        <v>14</v>
      </c>
      <c r="H18" s="70" t="s">
        <v>86</v>
      </c>
      <c r="I18" s="43" t="s">
        <v>14</v>
      </c>
      <c r="J18" s="42" t="s">
        <v>80</v>
      </c>
    </row>
    <row r="19" spans="2:10" ht="31.5" thickBot="1" x14ac:dyDescent="0.4">
      <c r="B19" s="3">
        <v>11</v>
      </c>
      <c r="C19" s="51" t="s">
        <v>30</v>
      </c>
      <c r="D19" s="52"/>
      <c r="E19" s="6" t="s">
        <v>10</v>
      </c>
      <c r="F19" s="9" t="s">
        <v>31</v>
      </c>
      <c r="G19" s="6" t="s">
        <v>10</v>
      </c>
      <c r="H19" s="9" t="s">
        <v>31</v>
      </c>
      <c r="I19" s="41" t="s">
        <v>10</v>
      </c>
      <c r="J19" s="42" t="s">
        <v>31</v>
      </c>
    </row>
    <row r="20" spans="2:10" ht="14.25" customHeight="1" x14ac:dyDescent="0.35">
      <c r="C20" s="1"/>
    </row>
    <row r="21" spans="2:10" ht="14.25" customHeight="1" x14ac:dyDescent="0.35">
      <c r="C21" s="1"/>
    </row>
    <row r="22" spans="2:10" ht="14.25" customHeight="1" x14ac:dyDescent="0.35">
      <c r="C22" s="1"/>
    </row>
    <row r="23" spans="2:10" ht="14.25" customHeight="1" x14ac:dyDescent="0.35">
      <c r="C23" s="1"/>
    </row>
    <row r="24" spans="2:10" ht="14.25" customHeight="1" x14ac:dyDescent="0.35">
      <c r="C24" s="1"/>
    </row>
    <row r="25" spans="2:10" ht="14.25" customHeight="1" x14ac:dyDescent="0.35">
      <c r="C25" s="1"/>
    </row>
    <row r="26" spans="2:10" ht="14.25" customHeight="1" x14ac:dyDescent="0.35">
      <c r="C26" s="1"/>
    </row>
    <row r="27" spans="2:10" ht="14.25" customHeight="1" x14ac:dyDescent="0.35">
      <c r="C27" s="1"/>
    </row>
    <row r="28" spans="2:10" ht="14.25" customHeight="1" x14ac:dyDescent="0.35">
      <c r="C28" s="1"/>
    </row>
    <row r="29" spans="2:10" ht="14.25" customHeight="1" x14ac:dyDescent="0.35">
      <c r="C29" s="1"/>
    </row>
    <row r="30" spans="2:10" ht="14.25" customHeight="1" x14ac:dyDescent="0.35">
      <c r="C30" s="1"/>
    </row>
    <row r="31" spans="2:10" ht="14.25" customHeight="1" x14ac:dyDescent="0.35">
      <c r="C31" s="1"/>
    </row>
    <row r="32" spans="2:10" ht="14.25" customHeight="1" x14ac:dyDescent="0.35">
      <c r="C32" s="1"/>
    </row>
    <row r="33" spans="3:3" ht="14.25" customHeight="1" x14ac:dyDescent="0.35">
      <c r="C33" s="1"/>
    </row>
    <row r="34" spans="3:3" ht="14.25" customHeight="1" x14ac:dyDescent="0.35">
      <c r="C34" s="1"/>
    </row>
    <row r="35" spans="3:3" ht="14.25" customHeight="1" x14ac:dyDescent="0.35">
      <c r="C35" s="1"/>
    </row>
    <row r="36" spans="3:3" ht="14.25" customHeight="1" x14ac:dyDescent="0.35">
      <c r="C36" s="1"/>
    </row>
    <row r="37" spans="3:3" ht="14.25" customHeight="1" x14ac:dyDescent="0.35">
      <c r="C37" s="1"/>
    </row>
    <row r="38" spans="3:3" ht="14.25" customHeight="1" x14ac:dyDescent="0.35">
      <c r="C38" s="1"/>
    </row>
    <row r="39" spans="3:3" ht="14.25" customHeight="1" x14ac:dyDescent="0.35">
      <c r="C39" s="1"/>
    </row>
    <row r="40" spans="3:3" ht="14.25" customHeight="1" x14ac:dyDescent="0.35">
      <c r="C40" s="1"/>
    </row>
    <row r="41" spans="3:3" ht="14.25" customHeight="1" x14ac:dyDescent="0.35">
      <c r="C41" s="1"/>
    </row>
    <row r="42" spans="3:3" ht="14.25" customHeight="1" x14ac:dyDescent="0.35">
      <c r="C42" s="1"/>
    </row>
    <row r="43" spans="3:3" ht="14.25" customHeight="1" x14ac:dyDescent="0.35">
      <c r="C43" s="1"/>
    </row>
    <row r="44" spans="3:3" ht="14.25" customHeight="1" x14ac:dyDescent="0.35">
      <c r="C44" s="1"/>
    </row>
    <row r="45" spans="3:3" ht="14.25" customHeight="1" x14ac:dyDescent="0.35">
      <c r="C45" s="1"/>
    </row>
    <row r="46" spans="3:3" ht="14.25" customHeight="1" x14ac:dyDescent="0.35">
      <c r="C46" s="1"/>
    </row>
    <row r="47" spans="3:3" ht="14.25" customHeight="1" x14ac:dyDescent="0.35">
      <c r="C47" s="1"/>
    </row>
    <row r="48" spans="3:3" ht="14.25" customHeight="1" x14ac:dyDescent="0.35">
      <c r="C48" s="1"/>
    </row>
    <row r="49" spans="3:3" ht="14.25" customHeight="1" x14ac:dyDescent="0.35">
      <c r="C49" s="1"/>
    </row>
    <row r="50" spans="3:3" ht="14.25" customHeight="1" x14ac:dyDescent="0.35">
      <c r="C50" s="1"/>
    </row>
    <row r="51" spans="3:3" ht="14.25" customHeight="1" x14ac:dyDescent="0.35">
      <c r="C51" s="1"/>
    </row>
    <row r="52" spans="3:3" ht="14.25" customHeight="1" x14ac:dyDescent="0.35">
      <c r="C52" s="1"/>
    </row>
    <row r="53" spans="3:3" ht="14.25" customHeight="1" x14ac:dyDescent="0.35">
      <c r="C53" s="1"/>
    </row>
    <row r="54" spans="3:3" ht="14.25" customHeight="1" x14ac:dyDescent="0.35">
      <c r="C54" s="1"/>
    </row>
    <row r="55" spans="3:3" ht="14.25" customHeight="1" x14ac:dyDescent="0.35">
      <c r="C55" s="1"/>
    </row>
    <row r="56" spans="3:3" ht="14.25" customHeight="1" x14ac:dyDescent="0.35">
      <c r="C56" s="1"/>
    </row>
    <row r="57" spans="3:3" ht="14.25" customHeight="1" x14ac:dyDescent="0.35">
      <c r="C57" s="1"/>
    </row>
    <row r="58" spans="3:3" ht="14.25" customHeight="1" x14ac:dyDescent="0.35">
      <c r="C58" s="1"/>
    </row>
    <row r="59" spans="3:3" ht="14.25" customHeight="1" x14ac:dyDescent="0.35">
      <c r="C59" s="1"/>
    </row>
    <row r="60" spans="3:3" ht="14.25" customHeight="1" x14ac:dyDescent="0.35">
      <c r="C60" s="1"/>
    </row>
    <row r="61" spans="3:3" ht="14.25" customHeight="1" x14ac:dyDescent="0.35">
      <c r="C61" s="1"/>
    </row>
    <row r="62" spans="3:3" ht="14.25" customHeight="1" x14ac:dyDescent="0.35">
      <c r="C62" s="1"/>
    </row>
    <row r="63" spans="3:3" ht="14.25" customHeight="1" x14ac:dyDescent="0.35">
      <c r="C63" s="1"/>
    </row>
    <row r="64" spans="3:3" ht="14.25" customHeight="1" x14ac:dyDescent="0.35">
      <c r="C64" s="1"/>
    </row>
    <row r="65" spans="3:3" ht="14.25" customHeight="1" x14ac:dyDescent="0.35">
      <c r="C65" s="1"/>
    </row>
    <row r="66" spans="3:3" ht="14.25" customHeight="1" x14ac:dyDescent="0.35">
      <c r="C66" s="1"/>
    </row>
    <row r="67" spans="3:3" ht="14.25" customHeight="1" x14ac:dyDescent="0.35">
      <c r="C67" s="1"/>
    </row>
    <row r="68" spans="3:3" ht="14.25" customHeight="1" x14ac:dyDescent="0.35">
      <c r="C68" s="1"/>
    </row>
    <row r="69" spans="3:3" ht="14.25" customHeight="1" x14ac:dyDescent="0.35">
      <c r="C69" s="1"/>
    </row>
    <row r="70" spans="3:3" ht="14.25" customHeight="1" x14ac:dyDescent="0.35">
      <c r="C70" s="1"/>
    </row>
    <row r="71" spans="3:3" ht="14.25" customHeight="1" x14ac:dyDescent="0.35">
      <c r="C71" s="1"/>
    </row>
    <row r="72" spans="3:3" ht="14.25" customHeight="1" x14ac:dyDescent="0.35">
      <c r="C72" s="1"/>
    </row>
    <row r="73" spans="3:3" ht="14.25" customHeight="1" x14ac:dyDescent="0.35">
      <c r="C73" s="1"/>
    </row>
    <row r="74" spans="3:3" ht="14.25" customHeight="1" x14ac:dyDescent="0.35">
      <c r="C74" s="1"/>
    </row>
    <row r="75" spans="3:3" ht="14.25" customHeight="1" x14ac:dyDescent="0.35">
      <c r="C75" s="1"/>
    </row>
    <row r="76" spans="3:3" ht="14.25" customHeight="1" x14ac:dyDescent="0.35">
      <c r="C76" s="1"/>
    </row>
    <row r="77" spans="3:3" ht="14.25" customHeight="1" x14ac:dyDescent="0.35">
      <c r="C77" s="1"/>
    </row>
    <row r="78" spans="3:3" ht="14.25" customHeight="1" x14ac:dyDescent="0.35">
      <c r="C78" s="1"/>
    </row>
    <row r="79" spans="3:3" ht="14.25" customHeight="1" x14ac:dyDescent="0.35">
      <c r="C79" s="1"/>
    </row>
    <row r="80" spans="3:3" ht="14.25" customHeight="1" x14ac:dyDescent="0.35">
      <c r="C80" s="1"/>
    </row>
    <row r="81" spans="3:3" ht="14.25" customHeight="1" x14ac:dyDescent="0.35">
      <c r="C81" s="1"/>
    </row>
    <row r="82" spans="3:3" ht="14.25" customHeight="1" x14ac:dyDescent="0.35">
      <c r="C82" s="1"/>
    </row>
    <row r="83" spans="3:3" ht="14.25" customHeight="1" x14ac:dyDescent="0.35">
      <c r="C83" s="1"/>
    </row>
    <row r="84" spans="3:3" ht="14.25" customHeight="1" x14ac:dyDescent="0.35">
      <c r="C84" s="1"/>
    </row>
    <row r="85" spans="3:3" ht="14.25" customHeight="1" x14ac:dyDescent="0.35">
      <c r="C85" s="1"/>
    </row>
    <row r="86" spans="3:3" ht="14.25" customHeight="1" x14ac:dyDescent="0.35">
      <c r="C86" s="1"/>
    </row>
    <row r="87" spans="3:3" ht="14.25" customHeight="1" x14ac:dyDescent="0.35">
      <c r="C87" s="1"/>
    </row>
    <row r="88" spans="3:3" ht="14.25" customHeight="1" x14ac:dyDescent="0.35">
      <c r="C88" s="1"/>
    </row>
    <row r="89" spans="3:3" ht="14.25" customHeight="1" x14ac:dyDescent="0.35">
      <c r="C89" s="1"/>
    </row>
    <row r="90" spans="3:3" ht="14.25" customHeight="1" x14ac:dyDescent="0.35">
      <c r="C90" s="1"/>
    </row>
    <row r="91" spans="3:3" ht="14.25" customHeight="1" x14ac:dyDescent="0.35">
      <c r="C91" s="1"/>
    </row>
    <row r="92" spans="3:3" ht="14.25" customHeight="1" x14ac:dyDescent="0.35">
      <c r="C92" s="1"/>
    </row>
    <row r="93" spans="3:3" ht="14.25" customHeight="1" x14ac:dyDescent="0.35">
      <c r="C93" s="1"/>
    </row>
    <row r="94" spans="3:3" ht="14.25" customHeight="1" x14ac:dyDescent="0.35">
      <c r="C94" s="1"/>
    </row>
    <row r="95" spans="3:3" ht="14.25" customHeight="1" x14ac:dyDescent="0.35">
      <c r="C95" s="1"/>
    </row>
    <row r="96" spans="3:3" ht="14.25" customHeight="1" x14ac:dyDescent="0.35">
      <c r="C96" s="1"/>
    </row>
    <row r="97" spans="3:3" ht="14.25" customHeight="1" x14ac:dyDescent="0.35">
      <c r="C97" s="1"/>
    </row>
    <row r="98" spans="3:3" ht="14.25" customHeight="1" x14ac:dyDescent="0.35">
      <c r="C98" s="1"/>
    </row>
    <row r="99" spans="3:3" ht="14.25" customHeight="1" x14ac:dyDescent="0.35">
      <c r="C99" s="1"/>
    </row>
    <row r="100" spans="3:3" ht="14.25" customHeight="1" x14ac:dyDescent="0.35">
      <c r="C100" s="1"/>
    </row>
    <row r="101" spans="3:3" ht="14.25" customHeight="1" x14ac:dyDescent="0.35">
      <c r="C101" s="1"/>
    </row>
    <row r="102" spans="3:3" ht="14.25" customHeight="1" x14ac:dyDescent="0.35">
      <c r="C102" s="1"/>
    </row>
    <row r="103" spans="3:3" ht="14.25" customHeight="1" x14ac:dyDescent="0.35">
      <c r="C103" s="1"/>
    </row>
    <row r="104" spans="3:3" ht="14.25" customHeight="1" x14ac:dyDescent="0.35">
      <c r="C104" s="1"/>
    </row>
    <row r="105" spans="3:3" ht="14.25" customHeight="1" x14ac:dyDescent="0.35">
      <c r="C105" s="1"/>
    </row>
    <row r="106" spans="3:3" ht="14.25" customHeight="1" x14ac:dyDescent="0.35">
      <c r="C106" s="1"/>
    </row>
    <row r="107" spans="3:3" ht="14.25" customHeight="1" x14ac:dyDescent="0.35">
      <c r="C107" s="1"/>
    </row>
    <row r="108" spans="3:3" ht="14.25" customHeight="1" x14ac:dyDescent="0.35">
      <c r="C108" s="1"/>
    </row>
    <row r="109" spans="3:3" ht="14.25" customHeight="1" x14ac:dyDescent="0.35">
      <c r="C109" s="1"/>
    </row>
    <row r="110" spans="3:3" ht="14.25" customHeight="1" x14ac:dyDescent="0.35">
      <c r="C110" s="1"/>
    </row>
    <row r="111" spans="3:3" ht="14.25" customHeight="1" x14ac:dyDescent="0.35">
      <c r="C111" s="1"/>
    </row>
    <row r="112" spans="3:3" ht="14.25" customHeight="1" x14ac:dyDescent="0.35">
      <c r="C112" s="1"/>
    </row>
    <row r="113" spans="3:3" ht="14.25" customHeight="1" x14ac:dyDescent="0.35">
      <c r="C113" s="1"/>
    </row>
    <row r="114" spans="3:3" ht="14.25" customHeight="1" x14ac:dyDescent="0.35">
      <c r="C114" s="1"/>
    </row>
    <row r="115" spans="3:3" ht="14.25" customHeight="1" x14ac:dyDescent="0.35">
      <c r="C115" s="1"/>
    </row>
    <row r="116" spans="3:3" ht="14.25" customHeight="1" x14ac:dyDescent="0.35">
      <c r="C116" s="1"/>
    </row>
    <row r="117" spans="3:3" ht="14.25" customHeight="1" x14ac:dyDescent="0.35">
      <c r="C117" s="1"/>
    </row>
    <row r="118" spans="3:3" ht="14.25" customHeight="1" x14ac:dyDescent="0.35">
      <c r="C118" s="1"/>
    </row>
    <row r="119" spans="3:3" ht="14.25" customHeight="1" x14ac:dyDescent="0.35">
      <c r="C119" s="1"/>
    </row>
    <row r="120" spans="3:3" ht="14.25" customHeight="1" x14ac:dyDescent="0.35">
      <c r="C120" s="1"/>
    </row>
    <row r="121" spans="3:3" ht="14.25" customHeight="1" x14ac:dyDescent="0.35">
      <c r="C121" s="1"/>
    </row>
    <row r="122" spans="3:3" ht="14.25" customHeight="1" x14ac:dyDescent="0.35">
      <c r="C122" s="1"/>
    </row>
    <row r="123" spans="3:3" ht="14.25" customHeight="1" x14ac:dyDescent="0.35">
      <c r="C123" s="1"/>
    </row>
    <row r="124" spans="3:3" ht="14.25" customHeight="1" x14ac:dyDescent="0.35">
      <c r="C124" s="1"/>
    </row>
    <row r="125" spans="3:3" ht="14.25" customHeight="1" x14ac:dyDescent="0.35">
      <c r="C125" s="1"/>
    </row>
    <row r="126" spans="3:3" ht="14.25" customHeight="1" x14ac:dyDescent="0.35">
      <c r="C126" s="1"/>
    </row>
    <row r="127" spans="3:3" ht="14.25" customHeight="1" x14ac:dyDescent="0.35">
      <c r="C127" s="1"/>
    </row>
    <row r="128" spans="3:3" ht="14.25" customHeight="1" x14ac:dyDescent="0.35">
      <c r="C128" s="1"/>
    </row>
    <row r="129" spans="3:3" ht="14.25" customHeight="1" x14ac:dyDescent="0.35">
      <c r="C129" s="1"/>
    </row>
    <row r="130" spans="3:3" ht="14.25" customHeight="1" x14ac:dyDescent="0.35">
      <c r="C130" s="1"/>
    </row>
    <row r="131" spans="3:3" ht="14.25" customHeight="1" x14ac:dyDescent="0.35">
      <c r="C131" s="1"/>
    </row>
    <row r="132" spans="3:3" ht="14.25" customHeight="1" x14ac:dyDescent="0.35">
      <c r="C132" s="1"/>
    </row>
    <row r="133" spans="3:3" ht="14.25" customHeight="1" x14ac:dyDescent="0.35">
      <c r="C133" s="1"/>
    </row>
    <row r="134" spans="3:3" ht="14.25" customHeight="1" x14ac:dyDescent="0.35">
      <c r="C134" s="1"/>
    </row>
    <row r="135" spans="3:3" ht="14.25" customHeight="1" x14ac:dyDescent="0.35">
      <c r="C135" s="1"/>
    </row>
    <row r="136" spans="3:3" ht="14.25" customHeight="1" x14ac:dyDescent="0.35">
      <c r="C136" s="1"/>
    </row>
    <row r="137" spans="3:3" ht="14.25" customHeight="1" x14ac:dyDescent="0.35">
      <c r="C137" s="1"/>
    </row>
    <row r="138" spans="3:3" ht="14.25" customHeight="1" x14ac:dyDescent="0.35">
      <c r="C138" s="1"/>
    </row>
    <row r="139" spans="3:3" ht="14.25" customHeight="1" x14ac:dyDescent="0.35">
      <c r="C139" s="1"/>
    </row>
    <row r="140" spans="3:3" ht="14.25" customHeight="1" x14ac:dyDescent="0.35">
      <c r="C140" s="1"/>
    </row>
    <row r="141" spans="3:3" ht="14.25" customHeight="1" x14ac:dyDescent="0.35">
      <c r="C141" s="1"/>
    </row>
    <row r="142" spans="3:3" ht="14.25" customHeight="1" x14ac:dyDescent="0.35">
      <c r="C142" s="1"/>
    </row>
    <row r="143" spans="3:3" ht="14.25" customHeight="1" x14ac:dyDescent="0.35">
      <c r="C143" s="1"/>
    </row>
    <row r="144" spans="3:3" ht="14.25" customHeight="1" x14ac:dyDescent="0.35">
      <c r="C144" s="1"/>
    </row>
    <row r="145" spans="3:3" ht="14.25" customHeight="1" x14ac:dyDescent="0.35">
      <c r="C145" s="1"/>
    </row>
    <row r="146" spans="3:3" ht="14.25" customHeight="1" x14ac:dyDescent="0.35">
      <c r="C146" s="1"/>
    </row>
    <row r="147" spans="3:3" ht="14.25" customHeight="1" x14ac:dyDescent="0.35">
      <c r="C147" s="1"/>
    </row>
    <row r="148" spans="3:3" ht="14.25" customHeight="1" x14ac:dyDescent="0.35">
      <c r="C148" s="1"/>
    </row>
    <row r="149" spans="3:3" ht="14.25" customHeight="1" x14ac:dyDescent="0.35">
      <c r="C149" s="1"/>
    </row>
    <row r="150" spans="3:3" ht="14.25" customHeight="1" x14ac:dyDescent="0.35">
      <c r="C150" s="1"/>
    </row>
    <row r="151" spans="3:3" ht="14.25" customHeight="1" x14ac:dyDescent="0.35">
      <c r="C151" s="1"/>
    </row>
    <row r="152" spans="3:3" ht="14.25" customHeight="1" x14ac:dyDescent="0.35">
      <c r="C152" s="1"/>
    </row>
    <row r="153" spans="3:3" ht="14.25" customHeight="1" x14ac:dyDescent="0.35">
      <c r="C153" s="1"/>
    </row>
    <row r="154" spans="3:3" ht="14.25" customHeight="1" x14ac:dyDescent="0.35">
      <c r="C154" s="1"/>
    </row>
    <row r="155" spans="3:3" ht="14.25" customHeight="1" x14ac:dyDescent="0.35">
      <c r="C155" s="1"/>
    </row>
    <row r="156" spans="3:3" ht="14.25" customHeight="1" x14ac:dyDescent="0.35">
      <c r="C156" s="1"/>
    </row>
    <row r="157" spans="3:3" ht="14.25" customHeight="1" x14ac:dyDescent="0.35">
      <c r="C157" s="1"/>
    </row>
    <row r="158" spans="3:3" ht="14.25" customHeight="1" x14ac:dyDescent="0.35">
      <c r="C158" s="1"/>
    </row>
    <row r="159" spans="3:3" ht="14.25" customHeight="1" x14ac:dyDescent="0.35">
      <c r="C159" s="1"/>
    </row>
    <row r="160" spans="3:3" ht="14.25" customHeight="1" x14ac:dyDescent="0.35">
      <c r="C160" s="1"/>
    </row>
    <row r="161" spans="3:3" ht="14.25" customHeight="1" x14ac:dyDescent="0.35">
      <c r="C161" s="1"/>
    </row>
    <row r="162" spans="3:3" ht="14.25" customHeight="1" x14ac:dyDescent="0.35">
      <c r="C162" s="1"/>
    </row>
    <row r="163" spans="3:3" ht="14.25" customHeight="1" x14ac:dyDescent="0.35">
      <c r="C163" s="1"/>
    </row>
    <row r="164" spans="3:3" ht="14.25" customHeight="1" x14ac:dyDescent="0.35">
      <c r="C164" s="1"/>
    </row>
    <row r="165" spans="3:3" ht="14.25" customHeight="1" x14ac:dyDescent="0.35">
      <c r="C165" s="1"/>
    </row>
    <row r="166" spans="3:3" ht="14.25" customHeight="1" x14ac:dyDescent="0.35">
      <c r="C166" s="1"/>
    </row>
    <row r="167" spans="3:3" ht="14.25" customHeight="1" x14ac:dyDescent="0.35">
      <c r="C167" s="1"/>
    </row>
    <row r="168" spans="3:3" ht="14.25" customHeight="1" x14ac:dyDescent="0.35">
      <c r="C168" s="1"/>
    </row>
    <row r="169" spans="3:3" ht="14.25" customHeight="1" x14ac:dyDescent="0.35">
      <c r="C169" s="1"/>
    </row>
    <row r="170" spans="3:3" ht="14.25" customHeight="1" x14ac:dyDescent="0.35">
      <c r="C170" s="1"/>
    </row>
    <row r="171" spans="3:3" ht="14.25" customHeight="1" x14ac:dyDescent="0.35">
      <c r="C171" s="1"/>
    </row>
    <row r="172" spans="3:3" ht="14.25" customHeight="1" x14ac:dyDescent="0.35">
      <c r="C172" s="1"/>
    </row>
    <row r="173" spans="3:3" ht="14.25" customHeight="1" x14ac:dyDescent="0.35">
      <c r="C173" s="1"/>
    </row>
    <row r="174" spans="3:3" ht="14.25" customHeight="1" x14ac:dyDescent="0.35">
      <c r="C174" s="1"/>
    </row>
    <row r="175" spans="3:3" ht="14.25" customHeight="1" x14ac:dyDescent="0.35">
      <c r="C175" s="1"/>
    </row>
    <row r="176" spans="3:3" ht="14.25" customHeight="1" x14ac:dyDescent="0.35">
      <c r="C176" s="1"/>
    </row>
    <row r="177" spans="3:3" ht="14.25" customHeight="1" x14ac:dyDescent="0.35">
      <c r="C177" s="1"/>
    </row>
    <row r="178" spans="3:3" ht="14.25" customHeight="1" x14ac:dyDescent="0.35">
      <c r="C178" s="1"/>
    </row>
    <row r="179" spans="3:3" ht="14.25" customHeight="1" x14ac:dyDescent="0.35">
      <c r="C179" s="1"/>
    </row>
    <row r="180" spans="3:3" ht="14.25" customHeight="1" x14ac:dyDescent="0.35">
      <c r="C180" s="1"/>
    </row>
    <row r="181" spans="3:3" ht="14.25" customHeight="1" x14ac:dyDescent="0.35">
      <c r="C181" s="1"/>
    </row>
    <row r="182" spans="3:3" ht="14.25" customHeight="1" x14ac:dyDescent="0.35">
      <c r="C182" s="1"/>
    </row>
    <row r="183" spans="3:3" ht="14.25" customHeight="1" x14ac:dyDescent="0.35">
      <c r="C183" s="1"/>
    </row>
    <row r="184" spans="3:3" ht="14.25" customHeight="1" x14ac:dyDescent="0.35">
      <c r="C184" s="1"/>
    </row>
    <row r="185" spans="3:3" ht="14.25" customHeight="1" x14ac:dyDescent="0.35">
      <c r="C185" s="1"/>
    </row>
    <row r="186" spans="3:3" ht="14.25" customHeight="1" x14ac:dyDescent="0.35">
      <c r="C186" s="1"/>
    </row>
    <row r="187" spans="3:3" ht="14.25" customHeight="1" x14ac:dyDescent="0.35">
      <c r="C187" s="1"/>
    </row>
    <row r="188" spans="3:3" ht="14.25" customHeight="1" x14ac:dyDescent="0.35">
      <c r="C188" s="1"/>
    </row>
    <row r="189" spans="3:3" ht="14.25" customHeight="1" x14ac:dyDescent="0.35">
      <c r="C189" s="1"/>
    </row>
    <row r="190" spans="3:3" ht="14.25" customHeight="1" x14ac:dyDescent="0.35">
      <c r="C190" s="1"/>
    </row>
    <row r="191" spans="3:3" ht="14.25" customHeight="1" x14ac:dyDescent="0.35">
      <c r="C191" s="1"/>
    </row>
    <row r="192" spans="3:3" ht="14.25" customHeight="1" x14ac:dyDescent="0.35">
      <c r="C192" s="1"/>
    </row>
    <row r="193" spans="3:3" ht="14.25" customHeight="1" x14ac:dyDescent="0.35">
      <c r="C193" s="1"/>
    </row>
    <row r="194" spans="3:3" ht="14.25" customHeight="1" x14ac:dyDescent="0.35">
      <c r="C194" s="1"/>
    </row>
    <row r="195" spans="3:3" ht="14.25" customHeight="1" x14ac:dyDescent="0.35">
      <c r="C195" s="1"/>
    </row>
    <row r="196" spans="3:3" ht="14.25" customHeight="1" x14ac:dyDescent="0.35">
      <c r="C196" s="1"/>
    </row>
    <row r="197" spans="3:3" ht="14.25" customHeight="1" x14ac:dyDescent="0.35">
      <c r="C197" s="1"/>
    </row>
    <row r="198" spans="3:3" ht="14.25" customHeight="1" x14ac:dyDescent="0.35">
      <c r="C198" s="1"/>
    </row>
    <row r="199" spans="3:3" ht="14.25" customHeight="1" x14ac:dyDescent="0.35">
      <c r="C199" s="1"/>
    </row>
    <row r="200" spans="3:3" ht="14.25" customHeight="1" x14ac:dyDescent="0.35">
      <c r="C200" s="1"/>
    </row>
    <row r="201" spans="3:3" ht="14.25" customHeight="1" x14ac:dyDescent="0.35">
      <c r="C201" s="1"/>
    </row>
    <row r="202" spans="3:3" ht="14.25" customHeight="1" x14ac:dyDescent="0.35">
      <c r="C202" s="1"/>
    </row>
    <row r="203" spans="3:3" ht="14.25" customHeight="1" x14ac:dyDescent="0.35">
      <c r="C203" s="1"/>
    </row>
    <row r="204" spans="3:3" ht="14.25" customHeight="1" x14ac:dyDescent="0.35">
      <c r="C204" s="1"/>
    </row>
    <row r="205" spans="3:3" ht="14.25" customHeight="1" x14ac:dyDescent="0.35">
      <c r="C205" s="1"/>
    </row>
    <row r="206" spans="3:3" ht="14.25" customHeight="1" x14ac:dyDescent="0.35">
      <c r="C206" s="1"/>
    </row>
    <row r="207" spans="3:3" ht="14.25" customHeight="1" x14ac:dyDescent="0.35">
      <c r="C207" s="1"/>
    </row>
    <row r="208" spans="3:3" ht="14.25" customHeight="1" x14ac:dyDescent="0.35">
      <c r="C208" s="1"/>
    </row>
    <row r="209" spans="3:3" ht="14.25" customHeight="1" x14ac:dyDescent="0.35">
      <c r="C209" s="1"/>
    </row>
    <row r="210" spans="3:3" ht="14.25" customHeight="1" x14ac:dyDescent="0.35">
      <c r="C210" s="1"/>
    </row>
    <row r="211" spans="3:3" ht="14.25" customHeight="1" x14ac:dyDescent="0.35">
      <c r="C211" s="1"/>
    </row>
    <row r="212" spans="3:3" ht="14.25" customHeight="1" x14ac:dyDescent="0.35">
      <c r="C212" s="1"/>
    </row>
    <row r="213" spans="3:3" ht="14.25" customHeight="1" x14ac:dyDescent="0.35">
      <c r="C213" s="1"/>
    </row>
    <row r="214" spans="3:3" ht="14.25" customHeight="1" x14ac:dyDescent="0.35">
      <c r="C214" s="1"/>
    </row>
    <row r="215" spans="3:3" ht="14.25" customHeight="1" x14ac:dyDescent="0.35">
      <c r="C215" s="1"/>
    </row>
    <row r="216" spans="3:3" ht="14.25" customHeight="1" x14ac:dyDescent="0.35">
      <c r="C216" s="1"/>
    </row>
    <row r="217" spans="3:3" ht="14.25" customHeight="1" x14ac:dyDescent="0.35">
      <c r="C217" s="1"/>
    </row>
    <row r="218" spans="3:3" ht="14.25" customHeight="1" x14ac:dyDescent="0.35">
      <c r="C218" s="1"/>
    </row>
    <row r="219" spans="3:3" ht="14.25" customHeight="1" x14ac:dyDescent="0.35">
      <c r="C219" s="1"/>
    </row>
    <row r="220" spans="3:3" ht="14.25" customHeight="1" x14ac:dyDescent="0.35">
      <c r="C220" s="1"/>
    </row>
    <row r="221" spans="3:3" ht="15.75" customHeight="1" x14ac:dyDescent="0.35"/>
    <row r="222" spans="3:3" ht="15.75" customHeight="1" x14ac:dyDescent="0.35"/>
    <row r="223" spans="3:3" ht="15.75" customHeight="1" x14ac:dyDescent="0.35"/>
    <row r="224" spans="3:3"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3">
    <mergeCell ref="C14:D14"/>
    <mergeCell ref="I7:I8"/>
    <mergeCell ref="J7:J8"/>
    <mergeCell ref="C9:D9"/>
    <mergeCell ref="C10:D10"/>
    <mergeCell ref="C11:D11"/>
    <mergeCell ref="C12:D12"/>
    <mergeCell ref="C13:D13"/>
    <mergeCell ref="C15:D15"/>
    <mergeCell ref="C16:D16"/>
    <mergeCell ref="C17:D17"/>
    <mergeCell ref="C18:D18"/>
    <mergeCell ref="C19:D19"/>
    <mergeCell ref="F7:F8"/>
    <mergeCell ref="G7:G8"/>
    <mergeCell ref="B5:D5"/>
    <mergeCell ref="B7:B8"/>
    <mergeCell ref="E7:E8"/>
    <mergeCell ref="H7:H8"/>
    <mergeCell ref="C7:D8"/>
    <mergeCell ref="B6:J6"/>
    <mergeCell ref="E5:J5"/>
    <mergeCell ref="B3:J4"/>
  </mergeCells>
  <printOptions horizontalCentered="1" verticalCentered="1"/>
  <pageMargins left="0.47" right="0.70866141732283472" top="0.74803149606299213" bottom="0.74803149606299213" header="0" footer="0"/>
  <pageSetup scale="56" orientation="landscape"/>
  <headerFooter>
    <oddFooter>&amp;LElaborado por: Ing Jenny A Ruiz R, Mónica  Gómez Docentes TC del Departamento de Ciencias de la  Computación IREB PROYECTO DE CHECK LIST  (CASO DE ESTUDIO ACADÉMICO)&amp;C&amp;P de &amp;R&amp;D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zoomScale="70" zoomScaleNormal="70" workbookViewId="0">
      <selection activeCell="D43" sqref="D43"/>
    </sheetView>
  </sheetViews>
  <sheetFormatPr baseColWidth="10" defaultColWidth="14.453125" defaultRowHeight="15" customHeight="1" x14ac:dyDescent="0.35"/>
  <cols>
    <col min="1" max="1" width="10.7265625" customWidth="1"/>
    <col min="2" max="2" width="36.7265625" customWidth="1"/>
    <col min="3" max="3" width="16.08984375" customWidth="1"/>
    <col min="4" max="4" width="22" customWidth="1"/>
    <col min="5" max="6" width="10.7265625" customWidth="1"/>
    <col min="7" max="7" width="36.7265625" customWidth="1"/>
    <col min="8" max="8" width="20.54296875" customWidth="1"/>
    <col min="9" max="9" width="21.81640625" customWidth="1"/>
    <col min="10" max="11" width="10.7265625" customWidth="1"/>
    <col min="12" max="12" width="36.7265625" customWidth="1"/>
    <col min="13" max="13" width="20.54296875" customWidth="1"/>
    <col min="14" max="14" width="21.54296875" customWidth="1"/>
    <col min="15" max="24" width="10.7265625" customWidth="1"/>
  </cols>
  <sheetData>
    <row r="1" spans="1:16" ht="18.5" x14ac:dyDescent="0.35">
      <c r="A1" s="31" t="s">
        <v>1</v>
      </c>
      <c r="B1" s="30"/>
      <c r="C1" s="32" t="s">
        <v>2</v>
      </c>
      <c r="D1" s="30"/>
      <c r="E1" s="12"/>
      <c r="F1" s="12"/>
      <c r="G1" s="12"/>
      <c r="H1" s="12"/>
      <c r="I1" s="12"/>
      <c r="J1" s="12"/>
      <c r="K1" s="12"/>
      <c r="L1" s="12"/>
      <c r="M1" s="12"/>
      <c r="N1" s="12"/>
      <c r="O1" s="12"/>
      <c r="P1" s="12"/>
    </row>
    <row r="2" spans="1:16" ht="18.5" x14ac:dyDescent="0.45">
      <c r="A2" s="33" t="s">
        <v>32</v>
      </c>
      <c r="B2" s="30"/>
      <c r="C2" s="34">
        <v>46126</v>
      </c>
      <c r="D2" s="30"/>
    </row>
    <row r="3" spans="1:16" ht="18.5" x14ac:dyDescent="0.45">
      <c r="A3" s="33" t="s">
        <v>33</v>
      </c>
      <c r="B3" s="30"/>
      <c r="C3" s="35" t="s">
        <v>34</v>
      </c>
      <c r="D3" s="30"/>
    </row>
    <row r="4" spans="1:16" ht="18.5" x14ac:dyDescent="0.45">
      <c r="A4" s="33" t="s">
        <v>35</v>
      </c>
      <c r="B4" s="30"/>
      <c r="C4" s="35" t="s">
        <v>36</v>
      </c>
      <c r="D4" s="30"/>
    </row>
    <row r="5" spans="1:16" ht="14.25" customHeight="1" x14ac:dyDescent="0.35"/>
    <row r="6" spans="1:16" ht="23.5" x14ac:dyDescent="0.35">
      <c r="A6" s="38" t="s">
        <v>37</v>
      </c>
      <c r="B6" s="29"/>
      <c r="C6" s="29"/>
      <c r="D6" s="30"/>
    </row>
    <row r="7" spans="1:16" ht="18.5" x14ac:dyDescent="0.35">
      <c r="A7" s="13" t="s">
        <v>38</v>
      </c>
      <c r="B7" s="13" t="s">
        <v>39</v>
      </c>
      <c r="C7" s="13" t="s">
        <v>40</v>
      </c>
      <c r="D7" s="13" t="s">
        <v>41</v>
      </c>
    </row>
    <row r="8" spans="1:16" ht="29" x14ac:dyDescent="0.35">
      <c r="A8" s="14">
        <v>1</v>
      </c>
      <c r="B8" s="15" t="s">
        <v>42</v>
      </c>
      <c r="C8" s="14" t="s">
        <v>43</v>
      </c>
      <c r="D8" s="14"/>
    </row>
    <row r="9" spans="1:16" ht="29" x14ac:dyDescent="0.35">
      <c r="A9" s="14">
        <v>2</v>
      </c>
      <c r="B9" s="15" t="s">
        <v>44</v>
      </c>
      <c r="C9" s="14" t="s">
        <v>43</v>
      </c>
      <c r="D9" s="14"/>
    </row>
    <row r="10" spans="1:16" ht="58" x14ac:dyDescent="0.35">
      <c r="A10" s="14">
        <v>3</v>
      </c>
      <c r="B10" s="15" t="s">
        <v>45</v>
      </c>
      <c r="C10" s="14"/>
      <c r="D10" s="16" t="s">
        <v>43</v>
      </c>
    </row>
    <row r="11" spans="1:16" ht="29" x14ac:dyDescent="0.35">
      <c r="A11" s="14">
        <v>4</v>
      </c>
      <c r="B11" s="15" t="s">
        <v>46</v>
      </c>
      <c r="C11" s="14" t="s">
        <v>43</v>
      </c>
      <c r="D11" s="14"/>
    </row>
    <row r="12" spans="1:16" ht="29" x14ac:dyDescent="0.35">
      <c r="A12" s="14">
        <v>5</v>
      </c>
      <c r="B12" s="15" t="s">
        <v>47</v>
      </c>
      <c r="C12" s="14" t="s">
        <v>43</v>
      </c>
      <c r="D12" s="14"/>
    </row>
    <row r="13" spans="1:16" ht="29" x14ac:dyDescent="0.35">
      <c r="A13" s="14">
        <v>6</v>
      </c>
      <c r="B13" s="15" t="s">
        <v>48</v>
      </c>
      <c r="C13" s="14" t="s">
        <v>43</v>
      </c>
      <c r="D13" s="14"/>
    </row>
    <row r="14" spans="1:16" ht="29" x14ac:dyDescent="0.35">
      <c r="A14" s="14">
        <v>7</v>
      </c>
      <c r="B14" s="15" t="s">
        <v>49</v>
      </c>
      <c r="C14" s="14" t="s">
        <v>43</v>
      </c>
      <c r="D14" s="14"/>
    </row>
    <row r="15" spans="1:16" ht="43.5" x14ac:dyDescent="0.35">
      <c r="A15" s="14">
        <v>8</v>
      </c>
      <c r="B15" s="15" t="s">
        <v>50</v>
      </c>
      <c r="C15" s="14" t="s">
        <v>43</v>
      </c>
      <c r="D15" s="14"/>
    </row>
    <row r="16" spans="1:16" ht="58" x14ac:dyDescent="0.35">
      <c r="A16" s="14">
        <v>9</v>
      </c>
      <c r="B16" s="15" t="s">
        <v>51</v>
      </c>
      <c r="C16" s="17" t="s">
        <v>43</v>
      </c>
      <c r="D16" s="17"/>
    </row>
    <row r="17" spans="1:4" ht="18.5" x14ac:dyDescent="0.35">
      <c r="A17" s="36" t="s">
        <v>52</v>
      </c>
      <c r="B17" s="30"/>
      <c r="C17" s="2">
        <f>COUNTA('MODELO LISTA DE COMPROBACION 1'!$C$8:$C$16)</f>
        <v>8</v>
      </c>
      <c r="D17" s="2">
        <f>COUNTA('MODELO LISTA DE COMPROBACION 1'!$D$8:$D$16)</f>
        <v>1</v>
      </c>
    </row>
    <row r="18" spans="1:4" ht="18.5" x14ac:dyDescent="0.35">
      <c r="A18" s="36" t="s">
        <v>53</v>
      </c>
      <c r="B18" s="30"/>
      <c r="C18" s="18">
        <f t="shared" ref="C18:D18" si="0">C17/9</f>
        <v>0.88888888888888884</v>
      </c>
      <c r="D18" s="18">
        <f t="shared" si="0"/>
        <v>0.1111111111111111</v>
      </c>
    </row>
    <row r="19" spans="1:4" ht="14.25" customHeight="1" x14ac:dyDescent="0.35">
      <c r="A19" s="19"/>
      <c r="B19" s="19"/>
      <c r="C19" s="20"/>
      <c r="D19" s="7"/>
    </row>
    <row r="20" spans="1:4" ht="23.5" x14ac:dyDescent="0.35">
      <c r="A20" s="38" t="s">
        <v>54</v>
      </c>
      <c r="B20" s="29"/>
      <c r="C20" s="29"/>
      <c r="D20" s="30"/>
    </row>
    <row r="21" spans="1:4" ht="21" x14ac:dyDescent="0.35">
      <c r="A21" s="21" t="s">
        <v>38</v>
      </c>
      <c r="B21" s="21" t="s">
        <v>39</v>
      </c>
      <c r="C21" s="22" t="s">
        <v>40</v>
      </c>
      <c r="D21" s="22" t="s">
        <v>41</v>
      </c>
    </row>
    <row r="22" spans="1:4" ht="29" x14ac:dyDescent="0.35">
      <c r="A22" s="14">
        <v>1</v>
      </c>
      <c r="B22" s="15" t="s">
        <v>55</v>
      </c>
      <c r="C22" s="14" t="s">
        <v>43</v>
      </c>
      <c r="D22" s="14"/>
    </row>
    <row r="23" spans="1:4" ht="29" x14ac:dyDescent="0.35">
      <c r="A23" s="14">
        <v>2</v>
      </c>
      <c r="B23" s="15" t="s">
        <v>56</v>
      </c>
      <c r="C23" s="14" t="s">
        <v>43</v>
      </c>
      <c r="D23" s="14"/>
    </row>
    <row r="24" spans="1:4" ht="29" x14ac:dyDescent="0.35">
      <c r="A24" s="14">
        <v>3</v>
      </c>
      <c r="B24" s="15" t="s">
        <v>57</v>
      </c>
      <c r="C24" s="14" t="s">
        <v>43</v>
      </c>
      <c r="D24" s="14"/>
    </row>
    <row r="25" spans="1:4" ht="29" x14ac:dyDescent="0.35">
      <c r="A25" s="14">
        <v>4</v>
      </c>
      <c r="B25" s="15" t="s">
        <v>58</v>
      </c>
      <c r="C25" s="73" t="s">
        <v>43</v>
      </c>
      <c r="D25" s="17"/>
    </row>
    <row r="26" spans="1:4" ht="14.5" x14ac:dyDescent="0.35">
      <c r="A26" s="14">
        <v>5</v>
      </c>
      <c r="B26" s="15" t="s">
        <v>59</v>
      </c>
      <c r="C26" s="14" t="s">
        <v>43</v>
      </c>
      <c r="D26" s="14"/>
    </row>
    <row r="27" spans="1:4" ht="18.5" x14ac:dyDescent="0.35">
      <c r="A27" s="36" t="s">
        <v>52</v>
      </c>
      <c r="B27" s="30"/>
      <c r="C27" s="2">
        <f>COUNTA('MODELO LISTA DE COMPROBACION 1'!$C$22:$C$26)</f>
        <v>5</v>
      </c>
      <c r="D27" s="2">
        <f>COUNTA('MODELO LISTA DE COMPROBACION 1'!$D$22:$D$26)</f>
        <v>0</v>
      </c>
    </row>
    <row r="28" spans="1:4" ht="18.5" x14ac:dyDescent="0.35">
      <c r="A28" s="36" t="s">
        <v>53</v>
      </c>
      <c r="B28" s="30"/>
      <c r="C28" s="18">
        <f t="shared" ref="C28:D28" si="1">C27/5</f>
        <v>1</v>
      </c>
      <c r="D28" s="18">
        <f t="shared" si="1"/>
        <v>0</v>
      </c>
    </row>
    <row r="29" spans="1:4" ht="14.25" customHeight="1" x14ac:dyDescent="0.35">
      <c r="A29" s="19"/>
      <c r="B29" s="19"/>
      <c r="C29" s="20"/>
      <c r="D29" s="7"/>
    </row>
    <row r="30" spans="1:4" ht="23.5" x14ac:dyDescent="0.35">
      <c r="A30" s="38" t="s">
        <v>60</v>
      </c>
      <c r="B30" s="29"/>
      <c r="C30" s="29"/>
      <c r="D30" s="30"/>
    </row>
    <row r="31" spans="1:4" ht="21" x14ac:dyDescent="0.35">
      <c r="A31" s="21" t="s">
        <v>38</v>
      </c>
      <c r="B31" s="21" t="s">
        <v>39</v>
      </c>
      <c r="C31" s="22" t="s">
        <v>40</v>
      </c>
      <c r="D31" s="22" t="s">
        <v>41</v>
      </c>
    </row>
    <row r="32" spans="1:4" ht="29" x14ac:dyDescent="0.35">
      <c r="A32" s="14">
        <v>1</v>
      </c>
      <c r="B32" s="15" t="s">
        <v>61</v>
      </c>
      <c r="C32" s="14" t="s">
        <v>43</v>
      </c>
      <c r="D32" s="14"/>
    </row>
    <row r="33" spans="1:4" ht="43.5" x14ac:dyDescent="0.35">
      <c r="A33" s="14">
        <v>2</v>
      </c>
      <c r="B33" s="15" t="s">
        <v>62</v>
      </c>
      <c r="C33" s="14" t="s">
        <v>43</v>
      </c>
      <c r="D33" s="14"/>
    </row>
    <row r="34" spans="1:4" ht="43.5" x14ac:dyDescent="0.35">
      <c r="A34" s="14">
        <v>3</v>
      </c>
      <c r="B34" s="15" t="s">
        <v>63</v>
      </c>
      <c r="C34" s="14" t="s">
        <v>43</v>
      </c>
      <c r="D34" s="14"/>
    </row>
    <row r="35" spans="1:4" ht="18.5" x14ac:dyDescent="0.35">
      <c r="A35" s="36" t="s">
        <v>52</v>
      </c>
      <c r="B35" s="30"/>
      <c r="C35" s="2">
        <f>COUNTA('MODELO LISTA DE COMPROBACION 1'!$C$32:$C$34)</f>
        <v>3</v>
      </c>
      <c r="D35" s="2">
        <f>COUNTA('MODELO LISTA DE COMPROBACION 1'!$D$32:$D$34)</f>
        <v>0</v>
      </c>
    </row>
    <row r="36" spans="1:4" ht="18.5" x14ac:dyDescent="0.35">
      <c r="A36" s="36" t="s">
        <v>53</v>
      </c>
      <c r="B36" s="30"/>
      <c r="C36" s="18">
        <f t="shared" ref="C36:D36" si="2">C35/3</f>
        <v>1</v>
      </c>
      <c r="D36" s="18">
        <f t="shared" si="2"/>
        <v>0</v>
      </c>
    </row>
    <row r="37" spans="1:4" ht="14.25" customHeight="1" x14ac:dyDescent="0.35"/>
    <row r="38" spans="1:4" ht="14.25" customHeight="1" x14ac:dyDescent="0.35"/>
    <row r="39" spans="1:4" ht="14.25" customHeight="1" x14ac:dyDescent="0.35"/>
    <row r="40" spans="1:4" ht="14.25" customHeight="1" x14ac:dyDescent="0.45">
      <c r="B40" s="37" t="s">
        <v>64</v>
      </c>
      <c r="C40" s="30"/>
    </row>
    <row r="41" spans="1:4" ht="30" customHeight="1" x14ac:dyDescent="0.35">
      <c r="B41" s="23" t="s">
        <v>65</v>
      </c>
      <c r="C41" s="24">
        <v>89</v>
      </c>
    </row>
    <row r="42" spans="1:4" ht="30" customHeight="1" x14ac:dyDescent="0.35">
      <c r="B42" s="23" t="s">
        <v>54</v>
      </c>
      <c r="C42" s="24">
        <v>100</v>
      </c>
    </row>
    <row r="43" spans="1:4" ht="30" customHeight="1" x14ac:dyDescent="0.35">
      <c r="B43" s="23" t="s">
        <v>60</v>
      </c>
      <c r="C43" s="2">
        <v>100</v>
      </c>
    </row>
    <row r="44" spans="1:4" ht="14.25" customHeight="1" x14ac:dyDescent="0.35">
      <c r="C44" s="7"/>
    </row>
    <row r="45" spans="1:4" ht="14.25" customHeight="1" x14ac:dyDescent="0.35">
      <c r="C45" s="7"/>
    </row>
    <row r="46" spans="1:4" ht="14.25" customHeight="1" x14ac:dyDescent="0.35"/>
    <row r="47" spans="1:4" ht="14.25" customHeight="1" x14ac:dyDescent="0.35"/>
    <row r="48" spans="1:4"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cfRule type="containsText" dxfId="23" priority="1" operator="containsText" text="X">
      <formula>NOT(ISERROR(SEARCH(("X"),(A32))))</formula>
    </cfRule>
  </conditionalFormatting>
  <conditionalFormatting sqref="C8:D16 C22:C26 C32:D34">
    <cfRule type="containsText" dxfId="22" priority="3" operator="containsText" text="X">
      <formula>NOT(ISERROR(SEARCH(("X"),(C8))))</formula>
    </cfRule>
    <cfRule type="containsText" dxfId="21" priority="4" operator="containsText" text="X">
      <formula>NOT(ISERROR(SEARCH(("X"),(C8))))</formula>
    </cfRule>
    <cfRule type="containsText" dxfId="20" priority="5" operator="containsText" text="X">
      <formula>NOT(ISERROR(SEARCH(("X"),(C8))))</formula>
    </cfRule>
  </conditionalFormatting>
  <conditionalFormatting sqref="C22:D26">
    <cfRule type="containsText" dxfId="19" priority="6" operator="containsText" text="X">
      <formula>NOT(ISERROR(SEARCH(("X"),(C22))))</formula>
    </cfRule>
    <cfRule type="containsText" dxfId="18" priority="7" operator="containsText" text="X">
      <formula>NOT(ISERROR(SEARCH(("X"),(C22))))</formula>
    </cfRule>
  </conditionalFormatting>
  <conditionalFormatting sqref="C32:D34 C8:D16 C22:C26">
    <cfRule type="containsText" dxfId="17" priority="2" operator="containsText" text="X">
      <formula>NOT(ISERROR(SEARCH(("X"),(C8))))</formula>
    </cfRule>
  </conditionalFormatting>
  <conditionalFormatting sqref="C32:D34">
    <cfRule type="containsText" dxfId="16"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I1" workbookViewId="0">
      <selection activeCell="D42" sqref="D42"/>
    </sheetView>
  </sheetViews>
  <sheetFormatPr baseColWidth="10" defaultColWidth="14.453125" defaultRowHeight="15" customHeight="1" x14ac:dyDescent="0.35"/>
  <cols>
    <col min="1" max="1" width="10.7265625" customWidth="1"/>
    <col min="2" max="2" width="36.7265625" customWidth="1"/>
    <col min="3" max="3" width="16.08984375" customWidth="1"/>
    <col min="4" max="4" width="25.81640625" customWidth="1"/>
    <col min="5" max="6" width="10.7265625" customWidth="1"/>
    <col min="7" max="7" width="36.7265625" customWidth="1"/>
    <col min="8" max="8" width="20.54296875" customWidth="1"/>
    <col min="9" max="9" width="21.81640625" customWidth="1"/>
    <col min="10" max="11" width="10.7265625" customWidth="1"/>
    <col min="12" max="12" width="36.7265625" customWidth="1"/>
    <col min="13" max="13" width="20.54296875" customWidth="1"/>
    <col min="14" max="14" width="21.54296875" customWidth="1"/>
    <col min="15" max="24" width="10.7265625" customWidth="1"/>
  </cols>
  <sheetData>
    <row r="1" spans="1:26" ht="18.5" x14ac:dyDescent="0.35">
      <c r="A1" s="31" t="s">
        <v>1</v>
      </c>
      <c r="B1" s="30"/>
      <c r="C1" s="32" t="s">
        <v>2</v>
      </c>
      <c r="D1" s="30"/>
      <c r="E1" s="12"/>
      <c r="J1" s="12"/>
      <c r="O1" s="12"/>
      <c r="P1" s="12"/>
      <c r="Q1" s="12"/>
      <c r="R1" s="12"/>
      <c r="S1" s="12"/>
      <c r="T1" s="12"/>
      <c r="U1" s="12"/>
      <c r="V1" s="12"/>
      <c r="W1" s="12"/>
      <c r="X1" s="12"/>
      <c r="Y1" s="12"/>
      <c r="Z1" s="12"/>
    </row>
    <row r="2" spans="1:26" ht="18.5" x14ac:dyDescent="0.45">
      <c r="A2" s="33" t="s">
        <v>32</v>
      </c>
      <c r="B2" s="30"/>
      <c r="C2" s="34">
        <v>46126</v>
      </c>
      <c r="D2" s="30"/>
    </row>
    <row r="3" spans="1:26" ht="18.5" x14ac:dyDescent="0.45">
      <c r="A3" s="33" t="s">
        <v>33</v>
      </c>
      <c r="B3" s="30"/>
      <c r="C3" s="35" t="s">
        <v>67</v>
      </c>
      <c r="D3" s="30"/>
    </row>
    <row r="4" spans="1:26" ht="18.5" x14ac:dyDescent="0.45">
      <c r="A4" s="33" t="s">
        <v>35</v>
      </c>
      <c r="B4" s="30"/>
      <c r="C4" s="35" t="s">
        <v>8</v>
      </c>
      <c r="D4" s="30"/>
    </row>
    <row r="5" spans="1:26" ht="14.25" customHeight="1" x14ac:dyDescent="0.35"/>
    <row r="6" spans="1:26" ht="23.5" x14ac:dyDescent="0.35">
      <c r="A6" s="38" t="s">
        <v>37</v>
      </c>
      <c r="B6" s="29"/>
      <c r="C6" s="29"/>
      <c r="D6" s="30"/>
    </row>
    <row r="7" spans="1:26" ht="18.5" x14ac:dyDescent="0.35">
      <c r="A7" s="13" t="s">
        <v>38</v>
      </c>
      <c r="B7" s="13" t="s">
        <v>39</v>
      </c>
      <c r="C7" s="13" t="s">
        <v>40</v>
      </c>
      <c r="D7" s="13" t="s">
        <v>41</v>
      </c>
    </row>
    <row r="8" spans="1:26" ht="29" x14ac:dyDescent="0.35">
      <c r="A8" s="14">
        <v>1</v>
      </c>
      <c r="B8" s="15" t="s">
        <v>42</v>
      </c>
      <c r="C8" s="14" t="s">
        <v>43</v>
      </c>
      <c r="D8" s="14"/>
    </row>
    <row r="9" spans="1:26" ht="29" x14ac:dyDescent="0.35">
      <c r="A9" s="14">
        <v>2</v>
      </c>
      <c r="B9" s="15" t="s">
        <v>44</v>
      </c>
      <c r="C9" s="14" t="s">
        <v>43</v>
      </c>
      <c r="D9" s="14"/>
    </row>
    <row r="10" spans="1:26" ht="58" x14ac:dyDescent="0.35">
      <c r="A10" s="14">
        <v>3</v>
      </c>
      <c r="B10" s="15" t="s">
        <v>45</v>
      </c>
      <c r="D10" s="16" t="s">
        <v>43</v>
      </c>
    </row>
    <row r="11" spans="1:26" ht="29" x14ac:dyDescent="0.35">
      <c r="A11" s="14">
        <v>4</v>
      </c>
      <c r="B11" s="15" t="s">
        <v>46</v>
      </c>
      <c r="C11" s="14" t="s">
        <v>43</v>
      </c>
      <c r="D11" s="14"/>
    </row>
    <row r="12" spans="1:26" ht="29" x14ac:dyDescent="0.35">
      <c r="A12" s="14">
        <v>5</v>
      </c>
      <c r="B12" s="15" t="s">
        <v>47</v>
      </c>
      <c r="C12" s="14" t="s">
        <v>43</v>
      </c>
      <c r="D12" s="14"/>
    </row>
    <row r="13" spans="1:26" ht="29" x14ac:dyDescent="0.35">
      <c r="A13" s="14">
        <v>6</v>
      </c>
      <c r="B13" s="15" t="s">
        <v>48</v>
      </c>
      <c r="C13" s="14" t="s">
        <v>43</v>
      </c>
      <c r="D13" s="14"/>
    </row>
    <row r="14" spans="1:26" ht="29" x14ac:dyDescent="0.35">
      <c r="A14" s="14">
        <v>7</v>
      </c>
      <c r="B14" s="15" t="s">
        <v>49</v>
      </c>
      <c r="C14" s="14" t="s">
        <v>43</v>
      </c>
      <c r="D14" s="14"/>
    </row>
    <row r="15" spans="1:26" ht="43.5" x14ac:dyDescent="0.35">
      <c r="A15" s="14">
        <v>8</v>
      </c>
      <c r="B15" s="15" t="s">
        <v>50</v>
      </c>
      <c r="C15" s="14" t="s">
        <v>43</v>
      </c>
      <c r="D15" s="14"/>
    </row>
    <row r="16" spans="1:26" ht="58" x14ac:dyDescent="0.35">
      <c r="A16" s="14">
        <v>9</v>
      </c>
      <c r="B16" s="15" t="s">
        <v>51</v>
      </c>
      <c r="C16" s="17" t="s">
        <v>43</v>
      </c>
      <c r="D16" s="17"/>
    </row>
    <row r="17" spans="1:4" ht="18.5" x14ac:dyDescent="0.35">
      <c r="A17" s="36" t="s">
        <v>52</v>
      </c>
      <c r="B17" s="30"/>
      <c r="C17" s="2">
        <f>COUNTA('MODELO LISTA DE COMPROBACION 2'!$C$8:$C$16)</f>
        <v>8</v>
      </c>
      <c r="D17" s="2">
        <f>COUNTA('MODELO LISTA DE COMPROBACION 2'!$D$8:$D$16)</f>
        <v>1</v>
      </c>
    </row>
    <row r="18" spans="1:4" ht="18.5" x14ac:dyDescent="0.35">
      <c r="A18" s="36" t="s">
        <v>53</v>
      </c>
      <c r="B18" s="30"/>
      <c r="C18" s="18">
        <f t="shared" ref="C18:D18" si="0">C17/9</f>
        <v>0.88888888888888884</v>
      </c>
      <c r="D18" s="18">
        <f t="shared" si="0"/>
        <v>0.1111111111111111</v>
      </c>
    </row>
    <row r="19" spans="1:4" ht="14.25" customHeight="1" x14ac:dyDescent="0.35">
      <c r="A19" s="19"/>
      <c r="B19" s="19"/>
      <c r="C19" s="20"/>
      <c r="D19" s="7"/>
    </row>
    <row r="20" spans="1:4" ht="23.5" x14ac:dyDescent="0.35">
      <c r="A20" s="38" t="s">
        <v>54</v>
      </c>
      <c r="B20" s="29"/>
      <c r="C20" s="29"/>
      <c r="D20" s="30"/>
    </row>
    <row r="21" spans="1:4" ht="21" x14ac:dyDescent="0.35">
      <c r="A21" s="21" t="s">
        <v>38</v>
      </c>
      <c r="B21" s="21" t="s">
        <v>39</v>
      </c>
      <c r="C21" s="22" t="s">
        <v>40</v>
      </c>
      <c r="D21" s="22" t="s">
        <v>41</v>
      </c>
    </row>
    <row r="22" spans="1:4" ht="29" x14ac:dyDescent="0.35">
      <c r="A22" s="14">
        <v>1</v>
      </c>
      <c r="B22" s="15" t="s">
        <v>55</v>
      </c>
      <c r="C22" s="14" t="s">
        <v>43</v>
      </c>
      <c r="D22" s="14"/>
    </row>
    <row r="23" spans="1:4" ht="29" x14ac:dyDescent="0.35">
      <c r="A23" s="14">
        <v>2</v>
      </c>
      <c r="B23" s="15" t="s">
        <v>56</v>
      </c>
      <c r="C23" s="14" t="s">
        <v>43</v>
      </c>
      <c r="D23" s="14"/>
    </row>
    <row r="24" spans="1:4" ht="29" x14ac:dyDescent="0.35">
      <c r="A24" s="14">
        <v>3</v>
      </c>
      <c r="B24" s="15" t="s">
        <v>57</v>
      </c>
      <c r="C24" s="14" t="s">
        <v>43</v>
      </c>
      <c r="D24" s="14"/>
    </row>
    <row r="25" spans="1:4" ht="29" x14ac:dyDescent="0.35">
      <c r="A25" s="14">
        <v>4</v>
      </c>
      <c r="B25" s="15" t="s">
        <v>58</v>
      </c>
      <c r="C25" s="14"/>
      <c r="D25" s="73" t="s">
        <v>43</v>
      </c>
    </row>
    <row r="26" spans="1:4" ht="14.5" x14ac:dyDescent="0.35">
      <c r="A26" s="14">
        <v>5</v>
      </c>
      <c r="B26" s="15" t="s">
        <v>59</v>
      </c>
      <c r="C26" s="14" t="s">
        <v>43</v>
      </c>
      <c r="D26" s="14"/>
    </row>
    <row r="27" spans="1:4" ht="18.5" x14ac:dyDescent="0.35">
      <c r="A27" s="36" t="s">
        <v>52</v>
      </c>
      <c r="B27" s="30"/>
      <c r="C27" s="24">
        <v>4</v>
      </c>
      <c r="D27" s="24">
        <v>1</v>
      </c>
    </row>
    <row r="28" spans="1:4" ht="18.5" x14ac:dyDescent="0.35">
      <c r="A28" s="36" t="s">
        <v>53</v>
      </c>
      <c r="B28" s="30"/>
      <c r="C28" s="18">
        <f t="shared" ref="C28:D28" si="1">C27/5</f>
        <v>0.8</v>
      </c>
      <c r="D28" s="18">
        <f t="shared" si="1"/>
        <v>0.2</v>
      </c>
    </row>
    <row r="29" spans="1:4" ht="14.25" customHeight="1" x14ac:dyDescent="0.35">
      <c r="A29" s="19"/>
      <c r="B29" s="19"/>
      <c r="C29" s="20"/>
      <c r="D29" s="7"/>
    </row>
    <row r="30" spans="1:4" ht="23.5" x14ac:dyDescent="0.35">
      <c r="A30" s="38" t="s">
        <v>60</v>
      </c>
      <c r="B30" s="29"/>
      <c r="C30" s="29"/>
      <c r="D30" s="30"/>
    </row>
    <row r="31" spans="1:4" ht="21" x14ac:dyDescent="0.35">
      <c r="A31" s="21" t="s">
        <v>38</v>
      </c>
      <c r="B31" s="21" t="s">
        <v>39</v>
      </c>
      <c r="C31" s="22" t="s">
        <v>40</v>
      </c>
      <c r="D31" s="22" t="s">
        <v>41</v>
      </c>
    </row>
    <row r="32" spans="1:4" ht="29" x14ac:dyDescent="0.35">
      <c r="A32" s="14">
        <v>1</v>
      </c>
      <c r="B32" s="15" t="s">
        <v>61</v>
      </c>
      <c r="C32" s="14" t="s">
        <v>43</v>
      </c>
      <c r="D32" s="14"/>
    </row>
    <row r="33" spans="1:4" ht="43.5" x14ac:dyDescent="0.35">
      <c r="A33" s="14">
        <v>2</v>
      </c>
      <c r="B33" s="15" t="s">
        <v>62</v>
      </c>
      <c r="C33" s="73" t="s">
        <v>43</v>
      </c>
      <c r="D33" s="73"/>
    </row>
    <row r="34" spans="1:4" ht="43.5" x14ac:dyDescent="0.35">
      <c r="A34" s="14">
        <v>3</v>
      </c>
      <c r="B34" s="15" t="s">
        <v>63</v>
      </c>
      <c r="C34" s="14"/>
      <c r="D34" s="73" t="s">
        <v>43</v>
      </c>
    </row>
    <row r="35" spans="1:4" ht="18.5" x14ac:dyDescent="0.35">
      <c r="A35" s="36" t="s">
        <v>52</v>
      </c>
      <c r="B35" s="30"/>
      <c r="C35" s="24">
        <v>2</v>
      </c>
      <c r="D35" s="24">
        <v>1</v>
      </c>
    </row>
    <row r="36" spans="1:4" ht="18.5" x14ac:dyDescent="0.35">
      <c r="A36" s="36" t="s">
        <v>53</v>
      </c>
      <c r="B36" s="30"/>
      <c r="C36" s="18">
        <f t="shared" ref="C36:D36" si="2">C35/3</f>
        <v>0.66666666666666663</v>
      </c>
      <c r="D36" s="18">
        <f>D35/3</f>
        <v>0.33333333333333331</v>
      </c>
    </row>
    <row r="37" spans="1:4" ht="14.25" customHeight="1" x14ac:dyDescent="0.35"/>
    <row r="38" spans="1:4" ht="14.25" customHeight="1" x14ac:dyDescent="0.35"/>
    <row r="39" spans="1:4" ht="14.25" customHeight="1" x14ac:dyDescent="0.35"/>
    <row r="40" spans="1:4" ht="14.25" customHeight="1" x14ac:dyDescent="0.45">
      <c r="B40" s="37" t="s">
        <v>64</v>
      </c>
      <c r="C40" s="30"/>
      <c r="D40" s="25"/>
    </row>
    <row r="41" spans="1:4" ht="30" customHeight="1" x14ac:dyDescent="0.35">
      <c r="B41" s="23" t="s">
        <v>65</v>
      </c>
      <c r="C41" s="24">
        <v>89</v>
      </c>
      <c r="D41" s="26"/>
    </row>
    <row r="42" spans="1:4" ht="30" customHeight="1" x14ac:dyDescent="0.35">
      <c r="B42" s="23" t="s">
        <v>54</v>
      </c>
      <c r="C42" s="24">
        <v>80</v>
      </c>
      <c r="D42" s="26"/>
    </row>
    <row r="43" spans="1:4" ht="30" customHeight="1" x14ac:dyDescent="0.35">
      <c r="B43" s="23" t="s">
        <v>60</v>
      </c>
      <c r="C43" s="2">
        <v>67</v>
      </c>
      <c r="D43" s="7"/>
    </row>
    <row r="44" spans="1:4" ht="14.25" customHeight="1" x14ac:dyDescent="0.35"/>
    <row r="45" spans="1:4" ht="14.25" customHeight="1" x14ac:dyDescent="0.35"/>
    <row r="46" spans="1:4" ht="14.25" customHeight="1" x14ac:dyDescent="0.35"/>
    <row r="47" spans="1:4" ht="14.25" customHeight="1" x14ac:dyDescent="0.35"/>
    <row r="48" spans="1:4"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15" priority="1" operator="containsText" text="X">
      <formula>NOT(ISERROR(SEARCH(("X"),(A32))))</formula>
    </cfRule>
  </conditionalFormatting>
  <conditionalFormatting sqref="C8:D16 H8:I16 M8:N16 C22:C26 H22:H26 M22:M26 C32:D34 H32:I34 M32:N34">
    <cfRule type="containsText" dxfId="14" priority="3" operator="containsText" text="X">
      <formula>NOT(ISERROR(SEARCH(("X"),(C8))))</formula>
    </cfRule>
    <cfRule type="containsText" dxfId="13" priority="4" operator="containsText" text="X">
      <formula>NOT(ISERROR(SEARCH(("X"),(C8))))</formula>
    </cfRule>
    <cfRule type="containsText" dxfId="12" priority="5" operator="containsText" text="X">
      <formula>NOT(ISERROR(SEARCH(("X"),(C8))))</formula>
    </cfRule>
  </conditionalFormatting>
  <conditionalFormatting sqref="C22:D26 H22:I26 M22:N26">
    <cfRule type="containsText" dxfId="11" priority="6" operator="containsText" text="X">
      <formula>NOT(ISERROR(SEARCH(("X"),(C22))))</formula>
    </cfRule>
    <cfRule type="containsText" dxfId="10" priority="7" operator="containsText" text="X">
      <formula>NOT(ISERROR(SEARCH(("X"),(C22))))</formula>
    </cfRule>
  </conditionalFormatting>
  <conditionalFormatting sqref="C32:D34 H32:I34 M32:N34 C8:D16 H8:I16 M8:N16 C22:C26 H22:H26 M22:M26">
    <cfRule type="containsText" dxfId="9" priority="2" operator="containsText" text="X">
      <formula>NOT(ISERROR(SEARCH(("X"),(C8))))</formula>
    </cfRule>
  </conditionalFormatting>
  <conditionalFormatting sqref="C32:D34 H32:I34 M32:N34">
    <cfRule type="containsText" dxfId="8"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3" workbookViewId="0">
      <selection activeCell="D52" sqref="D52"/>
    </sheetView>
  </sheetViews>
  <sheetFormatPr baseColWidth="10" defaultColWidth="14.453125" defaultRowHeight="15" customHeight="1" x14ac:dyDescent="0.35"/>
  <cols>
    <col min="1" max="1" width="10.7265625" customWidth="1"/>
    <col min="2" max="2" width="36.7265625" customWidth="1"/>
    <col min="3" max="3" width="16.08984375" customWidth="1"/>
    <col min="4" max="4" width="22" customWidth="1"/>
    <col min="5" max="6" width="10.7265625" customWidth="1"/>
    <col min="7" max="7" width="36.7265625" customWidth="1"/>
    <col min="8" max="8" width="20.54296875" customWidth="1"/>
    <col min="9" max="9" width="21.81640625" customWidth="1"/>
    <col min="10" max="11" width="10.7265625" customWidth="1"/>
    <col min="12" max="12" width="36.7265625" customWidth="1"/>
    <col min="13" max="13" width="20.54296875" customWidth="1"/>
    <col min="14" max="14" width="21.54296875" customWidth="1"/>
    <col min="15" max="24" width="10.7265625" customWidth="1"/>
  </cols>
  <sheetData>
    <row r="1" spans="1:26" ht="18.5" x14ac:dyDescent="0.35">
      <c r="A1" s="31" t="s">
        <v>1</v>
      </c>
      <c r="B1" s="30"/>
      <c r="C1" s="32" t="s">
        <v>2</v>
      </c>
      <c r="D1" s="30"/>
      <c r="E1" s="12"/>
      <c r="O1" s="12"/>
      <c r="P1" s="12"/>
      <c r="Q1" s="12"/>
      <c r="R1" s="12"/>
      <c r="S1" s="12"/>
      <c r="T1" s="12"/>
      <c r="U1" s="12"/>
      <c r="V1" s="12"/>
      <c r="W1" s="12"/>
      <c r="X1" s="12"/>
      <c r="Y1" s="12"/>
      <c r="Z1" s="12"/>
    </row>
    <row r="2" spans="1:26" ht="18.5" x14ac:dyDescent="0.45">
      <c r="A2" s="33" t="s">
        <v>32</v>
      </c>
      <c r="B2" s="30"/>
      <c r="C2" s="34">
        <v>46126</v>
      </c>
      <c r="D2" s="30"/>
    </row>
    <row r="3" spans="1:26" ht="18.5" x14ac:dyDescent="0.45">
      <c r="A3" s="33" t="s">
        <v>33</v>
      </c>
      <c r="B3" s="30"/>
      <c r="C3" s="35" t="s">
        <v>66</v>
      </c>
      <c r="D3" s="30"/>
    </row>
    <row r="4" spans="1:26" ht="18.5" x14ac:dyDescent="0.45">
      <c r="A4" s="33" t="s">
        <v>35</v>
      </c>
      <c r="B4" s="30"/>
      <c r="C4" s="74" t="s">
        <v>71</v>
      </c>
      <c r="D4" s="30"/>
    </row>
    <row r="5" spans="1:26" ht="14.25" customHeight="1" x14ac:dyDescent="0.35"/>
    <row r="6" spans="1:26" ht="23.5" x14ac:dyDescent="0.35">
      <c r="A6" s="38" t="s">
        <v>37</v>
      </c>
      <c r="B6" s="29"/>
      <c r="C6" s="29"/>
      <c r="D6" s="30"/>
    </row>
    <row r="7" spans="1:26" ht="18.5" x14ac:dyDescent="0.35">
      <c r="A7" s="13" t="s">
        <v>38</v>
      </c>
      <c r="B7" s="13" t="s">
        <v>39</v>
      </c>
      <c r="C7" s="13" t="s">
        <v>40</v>
      </c>
      <c r="D7" s="13" t="s">
        <v>41</v>
      </c>
    </row>
    <row r="8" spans="1:26" ht="29" x14ac:dyDescent="0.35">
      <c r="A8" s="14">
        <v>1</v>
      </c>
      <c r="B8" s="15" t="s">
        <v>42</v>
      </c>
      <c r="C8" s="14" t="s">
        <v>43</v>
      </c>
      <c r="D8" s="14"/>
    </row>
    <row r="9" spans="1:26" ht="29" x14ac:dyDescent="0.35">
      <c r="A9" s="14">
        <v>2</v>
      </c>
      <c r="B9" s="15" t="s">
        <v>44</v>
      </c>
      <c r="C9" s="14" t="s">
        <v>43</v>
      </c>
      <c r="D9" s="14"/>
    </row>
    <row r="10" spans="1:26" ht="58" x14ac:dyDescent="0.35">
      <c r="A10" s="14">
        <v>3</v>
      </c>
      <c r="B10" s="15" t="s">
        <v>45</v>
      </c>
      <c r="C10" s="14"/>
      <c r="D10" s="16" t="s">
        <v>43</v>
      </c>
    </row>
    <row r="11" spans="1:26" ht="29" x14ac:dyDescent="0.35">
      <c r="A11" s="14">
        <v>4</v>
      </c>
      <c r="B11" s="15" t="s">
        <v>46</v>
      </c>
      <c r="C11" s="14" t="s">
        <v>43</v>
      </c>
      <c r="D11" s="14"/>
    </row>
    <row r="12" spans="1:26" ht="29" x14ac:dyDescent="0.35">
      <c r="A12" s="14">
        <v>5</v>
      </c>
      <c r="B12" s="15" t="s">
        <v>47</v>
      </c>
      <c r="C12" s="14" t="s">
        <v>43</v>
      </c>
      <c r="D12" s="14"/>
    </row>
    <row r="13" spans="1:26" ht="29" x14ac:dyDescent="0.35">
      <c r="A13" s="14">
        <v>6</v>
      </c>
      <c r="B13" s="15" t="s">
        <v>48</v>
      </c>
      <c r="C13" s="14" t="s">
        <v>43</v>
      </c>
      <c r="D13" s="14"/>
    </row>
    <row r="14" spans="1:26" ht="29" x14ac:dyDescent="0.35">
      <c r="A14" s="14">
        <v>7</v>
      </c>
      <c r="B14" s="15" t="s">
        <v>49</v>
      </c>
      <c r="C14" s="14" t="s">
        <v>43</v>
      </c>
      <c r="D14" s="14"/>
    </row>
    <row r="15" spans="1:26" ht="43.5" x14ac:dyDescent="0.35">
      <c r="A15" s="14">
        <v>8</v>
      </c>
      <c r="B15" s="15" t="s">
        <v>50</v>
      </c>
      <c r="C15" s="14" t="s">
        <v>43</v>
      </c>
      <c r="D15" s="14"/>
    </row>
    <row r="16" spans="1:26" ht="58" x14ac:dyDescent="0.35">
      <c r="A16" s="14">
        <v>9</v>
      </c>
      <c r="B16" s="15" t="s">
        <v>51</v>
      </c>
      <c r="C16" s="73" t="s">
        <v>43</v>
      </c>
      <c r="D16" s="17"/>
    </row>
    <row r="17" spans="1:4" ht="18.5" x14ac:dyDescent="0.35">
      <c r="A17" s="36" t="s">
        <v>52</v>
      </c>
      <c r="B17" s="30"/>
      <c r="C17" s="24">
        <v>8</v>
      </c>
      <c r="D17" s="24">
        <v>1</v>
      </c>
    </row>
    <row r="18" spans="1:4" ht="18.5" x14ac:dyDescent="0.35">
      <c r="A18" s="36" t="s">
        <v>53</v>
      </c>
      <c r="B18" s="30"/>
      <c r="C18" s="18">
        <f t="shared" ref="C18:D18" si="0">C17/9</f>
        <v>0.88888888888888884</v>
      </c>
      <c r="D18" s="18">
        <f t="shared" si="0"/>
        <v>0.1111111111111111</v>
      </c>
    </row>
    <row r="19" spans="1:4" ht="14.25" customHeight="1" x14ac:dyDescent="0.35">
      <c r="A19" s="19"/>
      <c r="B19" s="19"/>
      <c r="C19" s="20"/>
      <c r="D19" s="7"/>
    </row>
    <row r="20" spans="1:4" ht="23.5" x14ac:dyDescent="0.35">
      <c r="A20" s="38" t="s">
        <v>54</v>
      </c>
      <c r="B20" s="29"/>
      <c r="C20" s="29"/>
      <c r="D20" s="30"/>
    </row>
    <row r="21" spans="1:4" ht="21" x14ac:dyDescent="0.35">
      <c r="A21" s="21" t="s">
        <v>38</v>
      </c>
      <c r="B21" s="21" t="s">
        <v>39</v>
      </c>
      <c r="C21" s="22" t="s">
        <v>40</v>
      </c>
      <c r="D21" s="22" t="s">
        <v>41</v>
      </c>
    </row>
    <row r="22" spans="1:4" ht="29" x14ac:dyDescent="0.35">
      <c r="A22" s="14">
        <v>1</v>
      </c>
      <c r="B22" s="15" t="s">
        <v>55</v>
      </c>
      <c r="C22" s="14" t="s">
        <v>43</v>
      </c>
      <c r="D22" s="14"/>
    </row>
    <row r="23" spans="1:4" ht="29" x14ac:dyDescent="0.35">
      <c r="A23" s="14">
        <v>2</v>
      </c>
      <c r="B23" s="15" t="s">
        <v>56</v>
      </c>
      <c r="C23" s="14" t="s">
        <v>43</v>
      </c>
      <c r="D23" s="14"/>
    </row>
    <row r="24" spans="1:4" ht="29" x14ac:dyDescent="0.35">
      <c r="A24" s="14">
        <v>3</v>
      </c>
      <c r="B24" s="15" t="s">
        <v>57</v>
      </c>
      <c r="C24" s="14" t="s">
        <v>43</v>
      </c>
      <c r="D24" s="14"/>
    </row>
    <row r="25" spans="1:4" ht="29" x14ac:dyDescent="0.35">
      <c r="A25" s="14">
        <v>4</v>
      </c>
      <c r="B25" s="15" t="s">
        <v>58</v>
      </c>
      <c r="C25" s="14" t="s">
        <v>43</v>
      </c>
      <c r="D25" s="14"/>
    </row>
    <row r="26" spans="1:4" ht="14.5" x14ac:dyDescent="0.35">
      <c r="A26" s="14">
        <v>5</v>
      </c>
      <c r="B26" s="15" t="s">
        <v>59</v>
      </c>
      <c r="C26" s="14" t="s">
        <v>43</v>
      </c>
      <c r="D26" s="14"/>
    </row>
    <row r="27" spans="1:4" ht="18.5" x14ac:dyDescent="0.35">
      <c r="A27" s="36" t="s">
        <v>52</v>
      </c>
      <c r="B27" s="30"/>
      <c r="C27" s="2">
        <v>5</v>
      </c>
      <c r="D27" s="2">
        <v>0</v>
      </c>
    </row>
    <row r="28" spans="1:4" ht="18.5" x14ac:dyDescent="0.35">
      <c r="A28" s="36" t="s">
        <v>53</v>
      </c>
      <c r="B28" s="30"/>
      <c r="C28" s="18">
        <f t="shared" ref="C28:D28" si="1">C27/5</f>
        <v>1</v>
      </c>
      <c r="D28" s="18">
        <f t="shared" si="1"/>
        <v>0</v>
      </c>
    </row>
    <row r="29" spans="1:4" ht="14.25" customHeight="1" x14ac:dyDescent="0.35">
      <c r="A29" s="19"/>
      <c r="B29" s="19"/>
      <c r="C29" s="20"/>
      <c r="D29" s="7"/>
    </row>
    <row r="30" spans="1:4" ht="23.5" x14ac:dyDescent="0.35">
      <c r="A30" s="38" t="s">
        <v>60</v>
      </c>
      <c r="B30" s="29"/>
      <c r="C30" s="29"/>
      <c r="D30" s="30"/>
    </row>
    <row r="31" spans="1:4" ht="21" x14ac:dyDescent="0.35">
      <c r="A31" s="21" t="s">
        <v>38</v>
      </c>
      <c r="B31" s="21" t="s">
        <v>39</v>
      </c>
      <c r="C31" s="22" t="s">
        <v>40</v>
      </c>
      <c r="D31" s="22" t="s">
        <v>41</v>
      </c>
    </row>
    <row r="32" spans="1:4" ht="29" x14ac:dyDescent="0.35">
      <c r="A32" s="14">
        <v>1</v>
      </c>
      <c r="B32" s="15" t="s">
        <v>61</v>
      </c>
      <c r="C32" s="14" t="s">
        <v>43</v>
      </c>
      <c r="D32" s="14"/>
    </row>
    <row r="33" spans="1:4" ht="43.5" x14ac:dyDescent="0.35">
      <c r="A33" s="14">
        <v>2</v>
      </c>
      <c r="B33" s="15" t="s">
        <v>62</v>
      </c>
      <c r="C33" s="14" t="s">
        <v>43</v>
      </c>
      <c r="D33" s="14"/>
    </row>
    <row r="34" spans="1:4" ht="43.5" x14ac:dyDescent="0.35">
      <c r="A34" s="14">
        <v>3</v>
      </c>
      <c r="B34" s="15" t="s">
        <v>63</v>
      </c>
      <c r="C34" s="14"/>
      <c r="D34" s="73" t="s">
        <v>43</v>
      </c>
    </row>
    <row r="35" spans="1:4" ht="18.5" x14ac:dyDescent="0.35">
      <c r="A35" s="36" t="s">
        <v>52</v>
      </c>
      <c r="B35" s="30"/>
      <c r="C35" s="2">
        <v>2</v>
      </c>
      <c r="D35" s="2">
        <f>COUNTA(#REF!)</f>
        <v>1</v>
      </c>
    </row>
    <row r="36" spans="1:4" ht="18.5" x14ac:dyDescent="0.35">
      <c r="A36" s="36" t="s">
        <v>53</v>
      </c>
      <c r="B36" s="30"/>
      <c r="C36" s="18">
        <f t="shared" ref="C36:D36" si="2">C35/3</f>
        <v>0.66666666666666663</v>
      </c>
      <c r="D36" s="18">
        <f t="shared" si="2"/>
        <v>0.33333333333333331</v>
      </c>
    </row>
    <row r="37" spans="1:4" ht="14.25" customHeight="1" x14ac:dyDescent="0.35"/>
    <row r="38" spans="1:4" ht="14.25" customHeight="1" x14ac:dyDescent="0.35"/>
    <row r="39" spans="1:4" ht="14.25" customHeight="1" x14ac:dyDescent="0.35"/>
    <row r="40" spans="1:4" ht="14.25" customHeight="1" x14ac:dyDescent="0.45">
      <c r="B40" s="37" t="s">
        <v>64</v>
      </c>
      <c r="C40" s="30"/>
      <c r="D40" s="25"/>
    </row>
    <row r="41" spans="1:4" ht="30" customHeight="1" x14ac:dyDescent="0.35">
      <c r="B41" s="23" t="s">
        <v>65</v>
      </c>
      <c r="C41" s="24">
        <v>89</v>
      </c>
      <c r="D41" s="26"/>
    </row>
    <row r="42" spans="1:4" ht="30" customHeight="1" x14ac:dyDescent="0.35">
      <c r="B42" s="23" t="s">
        <v>54</v>
      </c>
      <c r="C42" s="24">
        <v>100</v>
      </c>
      <c r="D42" s="26"/>
    </row>
    <row r="43" spans="1:4" ht="30" customHeight="1" x14ac:dyDescent="0.35">
      <c r="B43" s="23" t="s">
        <v>60</v>
      </c>
      <c r="C43" s="2">
        <v>67</v>
      </c>
      <c r="D43" s="7"/>
    </row>
    <row r="44" spans="1:4" ht="14.25" customHeight="1" x14ac:dyDescent="0.35"/>
    <row r="45" spans="1:4" ht="14.25" customHeight="1" x14ac:dyDescent="0.35"/>
    <row r="46" spans="1:4" ht="14.25" customHeight="1" x14ac:dyDescent="0.35"/>
    <row r="47" spans="1:4" ht="14.25" customHeight="1" x14ac:dyDescent="0.35"/>
    <row r="48" spans="1:4"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8">
    <mergeCell ref="A4:B4"/>
    <mergeCell ref="A28:B28"/>
    <mergeCell ref="A35:B35"/>
    <mergeCell ref="A36:B36"/>
    <mergeCell ref="B40:C40"/>
    <mergeCell ref="C4:D4"/>
    <mergeCell ref="A6:D6"/>
    <mergeCell ref="A17:B17"/>
    <mergeCell ref="A18:B18"/>
    <mergeCell ref="A20:D20"/>
    <mergeCell ref="A27:B27"/>
    <mergeCell ref="A30:D30"/>
    <mergeCell ref="A1:B1"/>
    <mergeCell ref="C1:D1"/>
    <mergeCell ref="A2:B2"/>
    <mergeCell ref="C2:D2"/>
    <mergeCell ref="A3:B3"/>
    <mergeCell ref="C3:D3"/>
  </mergeCells>
  <conditionalFormatting sqref="A32:D34 F32:I34 K32:N34">
    <cfRule type="containsText" dxfId="7" priority="1" operator="containsText" text="X">
      <formula>NOT(ISERROR(SEARCH(("X"),(A32))))</formula>
    </cfRule>
  </conditionalFormatting>
  <conditionalFormatting sqref="C8:D16 H8:I16 M8:N16 C22:C26 H22:H26 M22:M26 C32:D34 H32:I34 M32:N34">
    <cfRule type="containsText" dxfId="6" priority="3" operator="containsText" text="X">
      <formula>NOT(ISERROR(SEARCH(("X"),(C8))))</formula>
    </cfRule>
    <cfRule type="containsText" dxfId="5" priority="4" operator="containsText" text="X">
      <formula>NOT(ISERROR(SEARCH(("X"),(C8))))</formula>
    </cfRule>
    <cfRule type="containsText" dxfId="4" priority="5" operator="containsText" text="X">
      <formula>NOT(ISERROR(SEARCH(("X"),(C8))))</formula>
    </cfRule>
  </conditionalFormatting>
  <conditionalFormatting sqref="C22:D26 H22:I26 M22:N26">
    <cfRule type="containsText" dxfId="3" priority="6" operator="containsText" text="X">
      <formula>NOT(ISERROR(SEARCH(("X"),(C22))))</formula>
    </cfRule>
    <cfRule type="containsText" dxfId="2" priority="7" operator="containsText" text="X">
      <formula>NOT(ISERROR(SEARCH(("X"),(C22))))</formula>
    </cfRule>
  </conditionalFormatting>
  <conditionalFormatting sqref="C32:D34 H32:I34 M32:N34 C8:D16 H8:I16 M8:N16 C22:C26 H22:H26 M22:M26">
    <cfRule type="containsText" dxfId="1" priority="2" operator="containsText" text="X">
      <formula>NOT(ISERROR(SEARCH(("X"),(C8))))</formula>
    </cfRule>
  </conditionalFormatting>
  <conditionalFormatting sqref="C32:D34 H32:I34 M32:N34">
    <cfRule type="containsText" dxfId="0" priority="8" operator="containsText" text="X">
      <formula>NOT(ISERROR(SEARCH(("X"),(C32))))</formula>
    </cfRule>
  </conditionalFormatting>
  <pageMargins left="0.7" right="0.7" top="0.75" bottom="0.75" header="0" footer="0"/>
  <pageSetup paperSize="9" orientation="portrait"/>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abSelected="1" workbookViewId="0">
      <selection activeCell="D16" sqref="D16"/>
    </sheetView>
  </sheetViews>
  <sheetFormatPr baseColWidth="10" defaultColWidth="14.453125" defaultRowHeight="15" customHeight="1" x14ac:dyDescent="0.35"/>
  <cols>
    <col min="1" max="1" width="53.08984375" customWidth="1"/>
    <col min="2" max="2" width="57.26953125" customWidth="1"/>
    <col min="3" max="3" width="9.08984375" customWidth="1"/>
    <col min="4" max="4" width="6.7265625" customWidth="1"/>
    <col min="5" max="5" width="7.08984375" customWidth="1"/>
    <col min="6" max="6" width="7.26953125" customWidth="1"/>
    <col min="7" max="7" width="7.08984375" customWidth="1"/>
    <col min="8" max="8" width="9.453125" customWidth="1"/>
    <col min="9" max="9" width="8.54296875" customWidth="1"/>
    <col min="10" max="10" width="13.54296875" customWidth="1"/>
  </cols>
  <sheetData>
    <row r="1" spans="1:2" ht="14.25" customHeight="1" x14ac:dyDescent="0.35">
      <c r="A1" s="39" t="s">
        <v>68</v>
      </c>
      <c r="B1" s="40"/>
    </row>
    <row r="2" spans="1:2" ht="14.25" customHeight="1" x14ac:dyDescent="0.35">
      <c r="A2" s="27" t="s">
        <v>69</v>
      </c>
      <c r="B2" s="27" t="s">
        <v>70</v>
      </c>
    </row>
    <row r="3" spans="1:2" ht="58" x14ac:dyDescent="0.35">
      <c r="A3" s="75" t="s">
        <v>89</v>
      </c>
      <c r="B3" s="75" t="s">
        <v>90</v>
      </c>
    </row>
    <row r="4" spans="1:2" ht="14.25" customHeight="1" x14ac:dyDescent="0.35"/>
    <row r="5" spans="1:2" ht="14.25" customHeight="1" x14ac:dyDescent="0.35">
      <c r="A5" s="81" t="s">
        <v>8</v>
      </c>
      <c r="B5" s="40"/>
    </row>
    <row r="6" spans="1:2" ht="14.25" customHeight="1" x14ac:dyDescent="0.35">
      <c r="A6" s="77" t="s">
        <v>69</v>
      </c>
      <c r="B6" s="28" t="s">
        <v>70</v>
      </c>
    </row>
    <row r="7" spans="1:2" ht="43.5" x14ac:dyDescent="0.35">
      <c r="A7" s="78" t="s">
        <v>91</v>
      </c>
      <c r="B7" s="76" t="s">
        <v>92</v>
      </c>
    </row>
    <row r="8" spans="1:2" ht="43.5" x14ac:dyDescent="0.35">
      <c r="A8" s="78" t="s">
        <v>93</v>
      </c>
      <c r="B8" s="76" t="s">
        <v>94</v>
      </c>
    </row>
    <row r="9" spans="1:2" ht="43.5" x14ac:dyDescent="0.35">
      <c r="A9" s="78" t="s">
        <v>95</v>
      </c>
      <c r="B9" s="76" t="s">
        <v>96</v>
      </c>
    </row>
    <row r="10" spans="1:2" ht="58" x14ac:dyDescent="0.35">
      <c r="A10" s="78" t="s">
        <v>97</v>
      </c>
      <c r="B10" s="76" t="s">
        <v>98</v>
      </c>
    </row>
    <row r="11" spans="1:2" ht="14.25" customHeight="1" x14ac:dyDescent="0.35"/>
    <row r="12" spans="1:2" ht="14.5" x14ac:dyDescent="0.35"/>
    <row r="13" spans="1:2" ht="14.5" x14ac:dyDescent="0.35">
      <c r="A13" s="80" t="s">
        <v>71</v>
      </c>
      <c r="B13" s="79"/>
    </row>
    <row r="14" spans="1:2" ht="14.5" x14ac:dyDescent="0.35">
      <c r="A14" s="27" t="s">
        <v>69</v>
      </c>
      <c r="B14" s="27" t="s">
        <v>70</v>
      </c>
    </row>
    <row r="15" spans="1:2" ht="58" x14ac:dyDescent="0.35">
      <c r="A15" s="75" t="s">
        <v>99</v>
      </c>
      <c r="B15" s="75" t="s">
        <v>100</v>
      </c>
    </row>
    <row r="16" spans="1:2" ht="72.5" x14ac:dyDescent="0.35">
      <c r="A16" s="75" t="s">
        <v>101</v>
      </c>
      <c r="B16" s="75" t="s">
        <v>102</v>
      </c>
    </row>
    <row r="17" spans="1:2" ht="72.5" x14ac:dyDescent="0.35">
      <c r="A17" s="75" t="s">
        <v>103</v>
      </c>
      <c r="B17" s="75" t="s">
        <v>104</v>
      </c>
    </row>
    <row r="18" spans="1:2" ht="14.25" customHeight="1" x14ac:dyDescent="0.35"/>
    <row r="19" spans="1:2" ht="14.25" customHeight="1" x14ac:dyDescent="0.35"/>
    <row r="20" spans="1:2" ht="14.25" customHeight="1" x14ac:dyDescent="0.35"/>
    <row r="21" spans="1:2" ht="14.25" customHeight="1" x14ac:dyDescent="0.35"/>
    <row r="22" spans="1:2" ht="14.25" customHeight="1" x14ac:dyDescent="0.35"/>
    <row r="23" spans="1:2" ht="14.25" customHeight="1" x14ac:dyDescent="0.35"/>
    <row r="24" spans="1:2" ht="14.25" customHeight="1" x14ac:dyDescent="0.35"/>
    <row r="25" spans="1:2" ht="14.25" customHeight="1" x14ac:dyDescent="0.35"/>
    <row r="26" spans="1:2" ht="14.25" customHeight="1" x14ac:dyDescent="0.35"/>
    <row r="27" spans="1:2" ht="14.25" customHeight="1" x14ac:dyDescent="0.35"/>
    <row r="28" spans="1:2" ht="14.25" customHeight="1" x14ac:dyDescent="0.35"/>
    <row r="29" spans="1:2" ht="14.25" customHeight="1" x14ac:dyDescent="0.35"/>
    <row r="30" spans="1:2" ht="14.25" customHeight="1" x14ac:dyDescent="0.35"/>
    <row r="31" spans="1:2" ht="14.25" customHeight="1" x14ac:dyDescent="0.35"/>
    <row r="32" spans="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
    <mergeCell ref="A1:B1"/>
    <mergeCell ref="A5:B5"/>
    <mergeCell ref="A13:B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Matriz Ckeck LIst</vt:lpstr>
      <vt:lpstr>MODELO LISTA DE COMPROBACION 1</vt:lpstr>
      <vt:lpstr>MODELO LISTA DE COMPROBACION 2</vt:lpstr>
      <vt:lpstr>MODELO LISTA DE COMPROBACION 3</vt:lpstr>
      <vt:lpstr>RECOMENDACIONES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DYNABOOK</dc:creator>
  <cp:lastModifiedBy>Alex Cuzco</cp:lastModifiedBy>
  <dcterms:created xsi:type="dcterms:W3CDTF">2026-04-14T13:46:44Z</dcterms:created>
  <dcterms:modified xsi:type="dcterms:W3CDTF">2026-04-22T20:19:46Z</dcterms:modified>
</cp:coreProperties>
</file>