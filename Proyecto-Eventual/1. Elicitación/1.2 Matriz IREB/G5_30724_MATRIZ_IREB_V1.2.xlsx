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3.xml" ContentType="application/vnd.openxmlformats-officedocument.drawingml.chart+xml"/>
  <Override PartName="/xl/drawings/drawing4.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harts/chart5.xml" ContentType="application/vnd.openxmlformats-officedocument.drawingml.chart+xml"/>
  <Override PartName="/xl/drawings/drawing6.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harts/chart6.xml" ContentType="application/vnd.openxmlformats-officedocument.drawingml.chart+xml"/>
  <Override PartName="/xl/drawings/drawing7.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harts/chart7.xml" ContentType="application/vnd.openxmlformats-officedocument.drawingml.chart+xml"/>
  <Override PartName="/xl/drawings/drawing8.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esktop\Analisis\AlexCuzco_30724_G5_ADSW\Proyecto-Eventual\1. Elicitación\1.2 Matriz IREB\"/>
    </mc:Choice>
  </mc:AlternateContent>
  <xr:revisionPtr revIDLastSave="0" documentId="13_ncr:1_{0C0CBD1E-D833-41B9-A236-E6258D8E744C}" xr6:coauthVersionLast="47" xr6:coauthVersionMax="47" xr10:uidLastSave="{00000000-0000-0000-0000-000000000000}"/>
  <bookViews>
    <workbookView xWindow="-108" yWindow="-108" windowWidth="23256" windowHeight="12456" firstSheet="8" activeTab="9" xr2:uid="{00000000-000D-0000-FFFF-FFFF00000000}"/>
  </bookViews>
  <sheets>
    <sheet name="Matriz Ckeck LIst" sheetId="1" r:id="rId1"/>
    <sheet name="Matriz Ckeck LIst CU Finales" sheetId="2" r:id="rId2"/>
    <sheet name="MODELO LISTA DE COMPROBACION 1" sheetId="3" r:id="rId3"/>
    <sheet name="MODELO LISTA DE COMPROBACION 2" sheetId="4" r:id="rId4"/>
    <sheet name="MODELO LISTA DE COMPROBACION 3" sheetId="5" r:id="rId5"/>
    <sheet name="MODELO LISTA DE COMPROBACION 4" sheetId="6" r:id="rId6"/>
    <sheet name="MODELO LISTA DE COMPROBACION 5" sheetId="7" r:id="rId7"/>
    <sheet name="MODELO LISTA DE COMPROBACION 6" sheetId="8" r:id="rId8"/>
    <sheet name="MODELO LISTA DE COMPROBACION 7" sheetId="9" r:id="rId9"/>
    <sheet name="MODELO LISTA DE COMPROBACION 8" sheetId="10" r:id="rId10"/>
    <sheet name="RECOMENDACION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6" i="10" l="1"/>
  <c r="C36" i="10"/>
  <c r="D28" i="10"/>
  <c r="C28" i="10"/>
  <c r="D18" i="10"/>
  <c r="C18" i="10"/>
  <c r="D36" i="9"/>
  <c r="C36" i="9"/>
  <c r="D28" i="9"/>
  <c r="C28" i="9"/>
  <c r="D18" i="9"/>
  <c r="C18" i="9"/>
  <c r="D36" i="8"/>
  <c r="C36" i="8"/>
  <c r="D28" i="8"/>
  <c r="C28" i="8"/>
  <c r="D18" i="8"/>
  <c r="C18" i="8"/>
  <c r="D36" i="7"/>
  <c r="C36" i="7"/>
  <c r="D28" i="7"/>
  <c r="C28" i="7"/>
  <c r="D18" i="7"/>
  <c r="C18" i="7"/>
  <c r="D36" i="6"/>
  <c r="C36" i="6"/>
  <c r="D28" i="6"/>
  <c r="C28" i="6"/>
  <c r="D18" i="6"/>
  <c r="C18" i="6"/>
  <c r="D36" i="5"/>
  <c r="C36" i="5"/>
  <c r="D28" i="5"/>
  <c r="C28" i="5"/>
  <c r="D18" i="5"/>
  <c r="C18" i="5"/>
  <c r="D36" i="4"/>
  <c r="C36" i="4"/>
  <c r="D28" i="4"/>
  <c r="C28" i="4"/>
  <c r="D17" i="4"/>
  <c r="D18" i="4" s="1"/>
  <c r="C17" i="4"/>
  <c r="C18" i="4" s="1"/>
  <c r="D35" i="3"/>
  <c r="D36" i="3" s="1"/>
  <c r="C35" i="3"/>
  <c r="C36" i="3" s="1"/>
  <c r="D27" i="3"/>
  <c r="D28" i="3" s="1"/>
  <c r="C27" i="3"/>
  <c r="C28" i="3" s="1"/>
  <c r="D17" i="3"/>
  <c r="D18" i="3" s="1"/>
  <c r="C17" i="3"/>
  <c r="C1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200-000001000000}">
      <text>
        <r>
          <rPr>
            <sz val="11"/>
            <color theme="1"/>
            <rFont val="Calibri"/>
            <scheme val="minor"/>
          </rPr>
          <t>======
ID#AAAB5YuXW_0
ESPE    (2026-04-14 17:28:59)
COMPLETITUD DOCUMENTO</t>
        </r>
      </text>
    </comment>
    <comment ref="B9" authorId="0" shapeId="0" xr:uid="{00000000-0006-0000-0200-000002000000}">
      <text>
        <r>
          <rPr>
            <sz val="11"/>
            <color theme="1"/>
            <rFont val="Calibri"/>
            <scheme val="minor"/>
          </rPr>
          <t>======
ID#AAAB5ZYFUrI
ESPE    (2026-04-14 17:28:59)
COMPLETITUD REQUISITO INDIVIDUAL</t>
        </r>
      </text>
    </comment>
    <comment ref="B10" authorId="0" shapeId="0" xr:uid="{00000000-0006-0000-0200-000003000000}">
      <text>
        <r>
          <rPr>
            <sz val="11"/>
            <color theme="1"/>
            <rFont val="Calibri"/>
            <scheme val="minor"/>
          </rPr>
          <t>======
ID#AAAB5YuXXAM
ESPE    (2026-04-14 17:28:59)
TRAZABILIDAD</t>
        </r>
      </text>
    </comment>
    <comment ref="B11" authorId="0" shapeId="0" xr:uid="{00000000-0006-0000-0200-000004000000}">
      <text>
        <r>
          <rPr>
            <sz val="11"/>
            <color theme="1"/>
            <rFont val="Calibri"/>
            <scheme val="minor"/>
          </rPr>
          <t>======
ID#AAAB5YuXXAY
ESPE    (2026-04-14 17:28:59)
trazabilidad</t>
        </r>
      </text>
    </comment>
    <comment ref="B12" authorId="0" shapeId="0" xr:uid="{00000000-0006-0000-0200-000005000000}">
      <text>
        <r>
          <rPr>
            <sz val="11"/>
            <color theme="1"/>
            <rFont val="Calibri"/>
            <scheme val="minor"/>
          </rPr>
          <t>======
ID#AAAB5YuXW_4
ESPE    (2026-04-14 17:28:59)
TRAZABILIDAD</t>
        </r>
      </text>
    </comment>
    <comment ref="B13" authorId="0" shapeId="0" xr:uid="{00000000-0006-0000-0200-000006000000}">
      <text>
        <r>
          <rPr>
            <sz val="11"/>
            <color theme="1"/>
            <rFont val="Calibri"/>
            <scheme val="minor"/>
          </rPr>
          <t>======
ID#AAAB5YuXXAI
ESPE    (2026-04-14 17:28:59)
CORRECCION</t>
        </r>
      </text>
    </comment>
    <comment ref="B14" authorId="0" shapeId="0" xr:uid="{00000000-0006-0000-0200-000007000000}">
      <text>
        <r>
          <rPr>
            <sz val="11"/>
            <color theme="1"/>
            <rFont val="Calibri"/>
            <scheme val="minor"/>
          </rPr>
          <t>======
ID#AAAB5YuXW_o
ESPE    (2026-04-14 17:28:59)
CONSISTENCIA</t>
        </r>
      </text>
    </comment>
    <comment ref="B15" authorId="0" shapeId="0" xr:uid="{00000000-0006-0000-0200-000008000000}">
      <text>
        <r>
          <rPr>
            <sz val="11"/>
            <color theme="1"/>
            <rFont val="Calibri"/>
            <scheme val="minor"/>
          </rPr>
          <t>======
ID#AAAB5YuXW_k
ESPE    (2026-04-14 17:28:59)
NECESIDAD</t>
        </r>
      </text>
    </comment>
    <comment ref="B16" authorId="0" shapeId="0" xr:uid="{00000000-0006-0000-0200-000009000000}">
      <text>
        <r>
          <rPr>
            <sz val="11"/>
            <color theme="1"/>
            <rFont val="Calibri"/>
            <scheme val="minor"/>
          </rPr>
          <t>======
ID#AAAB5YuXW_Y
ESPE    (2026-04-14 17:28:59)
verificable</t>
        </r>
      </text>
    </comment>
  </commentList>
</comments>
</file>

<file path=xl/sharedStrings.xml><?xml version="1.0" encoding="utf-8"?>
<sst xmlns="http://schemas.openxmlformats.org/spreadsheetml/2006/main" count="973" uniqueCount="270">
  <si>
    <t>MATRIZ PARA COMPROBACIÓN REQUERIMIENTOS DE CALIDAD DE PROYECTO ACADÉMICO</t>
  </si>
  <si>
    <t>SISTEMA:</t>
  </si>
  <si>
    <t xml:space="preserve">Sistema de planificación y seguimiento de eventos sociales y deportivos del Club de Suboficiales Retirados (EVENTUAL) </t>
  </si>
  <si>
    <t>Requerimientos  Funcionales</t>
  </si>
  <si>
    <t>Nº</t>
  </si>
  <si>
    <t>CRITERIOS DE CALIDAD (Documento/Requerimientos)</t>
  </si>
  <si>
    <t>Status
Nivel de Acuerdo</t>
  </si>
  <si>
    <t>CU-006: Registrar Gastos del Evento</t>
  </si>
  <si>
    <t xml:space="preserve">CU-007: Registrar Aportes Económicos </t>
  </si>
  <si>
    <t>CU-008 Registrar Evento</t>
  </si>
  <si>
    <t xml:space="preserve">CU-009 Difundir Información del Evento
</t>
  </si>
  <si>
    <t xml:space="preserve">CU-010 Ingresar Proveedor
</t>
  </si>
  <si>
    <t>Agreed</t>
  </si>
  <si>
    <t>OK</t>
  </si>
  <si>
    <t>1. Videoconferencia de la entrevista
2. Es una necesidad estándar y aceptada por los stakeholders para el control financiero del club.
3. Aceptación por videoconferencia</t>
  </si>
  <si>
    <t>1. Videoconferencia de la entrevista
2. Minuta de la entrevista
3. Aceptación por videoconferencia</t>
  </si>
  <si>
    <t>Ranked</t>
  </si>
  <si>
    <t>1. Tiene una prioridad alta/esencial, ya que el flujo de caja requiere un soporte de emisión inmediata.</t>
  </si>
  <si>
    <t>1. Tiene una prioridad alta bien definida, ya que el sistema necesita registrar de dónde entra el dinero antes de poder ejecutar los eventos.</t>
  </si>
  <si>
    <t>1. Tiene asignada prioridad Alta, lo que indica que fue ponderado por importancia dentro del sistema.</t>
  </si>
  <si>
    <t>1. Tiene prioridad Alta asignada, lo que indica que fue ponderado en función de su importancia dentro del flujo del sistemas.</t>
  </si>
  <si>
    <t>1. Tiene prioridad Media asignada, lo que indica que fue ponderado y ubicado en un nivel de importancia menor respecto a otros casos de uso del sistema.</t>
  </si>
  <si>
    <t>Unambiguos</t>
  </si>
  <si>
    <t>1. Los pasos del flujo básico ("Ingresar datos", "Validar información", "Guardar en BD") son directos y usan la terminología estándar del negocio.</t>
  </si>
  <si>
    <t>1. El flujo describe de forma directa los pasos que realiza el Tesorero y la respuesta del sistema sin dobles interpretaciones.</t>
  </si>
  <si>
    <t>NOK</t>
  </si>
  <si>
    <t>1. La mayoría de los pasos son claros, pero el paso 10 indica "programa notificaciones según el cronograma definido" sin especificar cuál cronograma ni en qué momento exacto, lo que puede tener más de una interpretación.</t>
  </si>
  <si>
    <t>1. El paso 9 menciona "seleccionando uno o más tiempos de aviso disponibles (por ejemplo: 15 días, 7 días o 1 día)" usando "por ejemplo", lo que deja abierto si esos son los únicos valores posibles o si hay más.s.</t>
  </si>
  <si>
    <t>1. El paso 8 indica que el Secretario "asigna una calificación inicial al proveedor" sin especificar la escala (¿del 1 al 5? ¿del 1 al 10?), ni los criterios para asignarla. Esto puede interpretarse de distintas maneras por distintos lectores..</t>
  </si>
  <si>
    <t>Valid and up-to date</t>
  </si>
  <si>
    <t>1. Está vigente y alineado con la última estructura del alcance del sistema planteada en el documento.</t>
  </si>
  <si>
    <t>1. Es totalmente vigente y coherente con el alcance actual del módulo de gestión de eventos y finanzas del club.</t>
  </si>
  <si>
    <t>1. El caso de uso incluye referencias a casos de uso relacionados como "Definir Evento", lo que muestra que está articulado con el estado actual del sistema..</t>
  </si>
  <si>
    <t>1. El caso de uso referencia correctamente el estado previo del evento ("Registrado y definido").</t>
  </si>
  <si>
    <t>1. está alineado con el estado actual del sistema, siendo referenciado correctamente por CU-009 Consultar Proveedores como precondición.</t>
  </si>
  <si>
    <t>Correct</t>
  </si>
  <si>
    <t>1. Se describe clarmente el proceso real que un organizador debe seguir para asentar un gasto en la aplicación.</t>
  </si>
  <si>
    <t>1. Describe de forma precisa la secuencia real para asentar un ingreso.</t>
  </si>
  <si>
    <t xml:space="preserve">1. Refleja correctamente las expectativas del Presidente como actor: confirmar datos, cargar documentos, registrar el evento y habilitarlo para difusión. </t>
  </si>
  <si>
    <t>1. Refleja adecuadamente las expectativas del Secretario: personalizar mensaje, seleccionar canales, programar envío y configurar recordatorios..</t>
  </si>
  <si>
    <t>1. El flujo general refleja las expectativas del Secretario, pero la descripción del caso de uso nivel 0 menciona que el propósito es registrar "proveedores de servicios relacionados con viajes terrestres", lo que es inconsistente con los campos del formulario que incluyen categorías como alimentación, sonido y decoración, que van mucho más allá de viajes terrestres.</t>
  </si>
  <si>
    <t>Consistent</t>
  </si>
  <si>
    <t>1. No entra en contradicción con ningún otro caso de uso ni con el modelo de dominio; depende de la existencia previa de la entidad "Evento"</t>
  </si>
  <si>
    <t>1. Aquí hay un choque de consistencia global: en el CU-001 registras "Miembros" y en el CU-005 manejas "Pagos" (Efectivo/Transferencia) ligados a matrículas. Sin embargo, en este CU-007, el flujo no aclara si el aporte lo hace un "Miembro" ya registrado en el sistema, ni si usa los mismos métodos de pago del CU-005, generando una ruptura en la lógica de las entidades del documento.</t>
  </si>
  <si>
    <t>1. No contradice otros casos de uso. Está correctamente enlazado con "Definir Evento" como precondición y con "Difundir Evento" como postcondición.</t>
  </si>
  <si>
    <t>1. No contradice otros casos de uso. Requiere correctamente que el evento esté en estado "Registrado" (postcondición del CU-008) y al finalizar cambia el estado a "Difundido", lo que habilita el CU de Confirmar Asistencia.</t>
  </si>
  <si>
    <t>1. Existe una contradicción directa: la descripción del caso de uso dice "proveedores de servicios relacionados con viajes terrestres", pero en el formulario y en CU-009 Consultar Proveedores se manejan categorías como alimentación, sonido y decoración.</t>
  </si>
  <si>
    <t>Verifiable</t>
  </si>
  <si>
    <t>1. Es totalmente medible a través de pruebas de caja negra: se ejecutan los pasos del caso de uso y se comprueba si el gasto se almacena o si fallan las validaciones.</t>
  </si>
  <si>
    <t>1. Se puede verificar ejecutando el flujo y revisando el impacto en la base de datos..</t>
  </si>
  <si>
    <t>1. Las acciones son comprobables: se genera un código EVT-YYYY-NNN único, el estado cambia a "Registrado" y se habilita "Difundir Evento". Estas son condiciones objetivas que pueden probarse en el softwarel.</t>
  </si>
  <si>
    <t>1. Las postcondiciones son comprobables: el evento cambia a estado "Difundido", las notificaciones quedan registradas y los recordatorios son programados.</t>
  </si>
  <si>
    <t>1.  El proveedor queda registrado y disponible para consulta. El sistema muestra un mensaje de confirmación de registro exitoso, lo que permite verificar objetivamente si el caso de uso se ejecutó correctamente..</t>
  </si>
  <si>
    <t>Realizable</t>
  </si>
  <si>
    <t>1. El flujo planteado es técnicamente viable de programar con la arquitectura full-stack (Flutter/Node.js) definida para el proyecto.</t>
  </si>
  <si>
    <t>1. Es totalmente programable dentro de la arquitectura de software planteada.</t>
  </si>
  <si>
    <t>1. Las funcionalidades descritas (validar formatos, generar código único, cambiar estado, programar notificaciones) son técnicamente implementables en una aplicación móvil con backend.</t>
  </si>
  <si>
    <t>1. El envío por WhatsApp y app, la programación de recordatorios y el uso de plantillas personalizables son funcionalidades implementables con las tecnologías actuales disponibles para el proyecto.</t>
  </si>
  <si>
    <t>1. El registro de un proveedor con los campos descritos es completamente implementable con las tecnologías del proyecto.</t>
  </si>
  <si>
    <t>Traceable</t>
  </si>
  <si>
    <t>1.Está perfectamente identificado en el índice del documento, asociado a sus respectivos diagramas y entidades del sistema.</t>
  </si>
  <si>
    <t>1. Se vincula con los objetivos del sistema y el modelo de dominio.</t>
  </si>
  <si>
    <t>1. No existe un vínculo a los casos de uso que deberia tener relacion(NF-04, NF-05).</t>
  </si>
  <si>
    <t>1. No se enlaza explícitamente con requerimientos no funcionales relacionados como NF-03 (baja conectividad) o NF-06 (rendimiento), que afectan directamente el envío masivo de notificaciones.</t>
  </si>
  <si>
    <t>1. No tiene un identificador de trazabilidad que permita rastrear su relación con otros casos de uso que lo usan como precondición, como CU-011 Registrar Cotizaciones.</t>
  </si>
  <si>
    <t>Complete</t>
  </si>
  <si>
    <t>1. No se especifica qué tipos de datos se digitan (ej. formato del monto), si las categorías son una lista fija o texto libre, ni detalla el comportamiento exacto de los mensajes de error en los flujos alternos.</t>
  </si>
  <si>
    <t>No especifica:                                                                             1. Si el aporte económico altera el presupuesto total del evento definido en la planificación.                                             2. Si se debe emitir un comprobante digital (como analizamos que falta en otros flujos de pago).                               3. Cómo se maneja el flujo alterno si el aporte supera el límite requerido para el evento.</t>
  </si>
  <si>
    <t>1. Faltan escenarios relevantes: no se documenta qué ocurre si el Presidente intenta registrar un evento sin que el tesorero haya evaluado costos, no hay excepción para documentos duplicados.</t>
  </si>
  <si>
    <t>1. No se documenta qué ocurre si un socio no tiene WhatsApp configurado, no hay excepción para cuando la plantilla institucional no carga correctamente.</t>
  </si>
  <si>
    <t>1. Faltan varios escenarios importantes: no se especifica qué campos son obligatorios y cuáles opcionales en el formulario, no hay excepción para formato de email inválido, no se define el formato o rango válido de la calificación.</t>
  </si>
  <si>
    <t>Understandability</t>
  </si>
  <si>
    <t xml:space="preserve">1. Se involucra al único q hara eso (Tesorero)
2. Existe glosario de términos.                    3. El elemento cuenta con su nomenclatura formal única indexada como CU-006.               </t>
  </si>
  <si>
    <t>1. Se involucra al Tesoro que será el único que tendrá acceso a realizar esta acción.
2. Existe glosario de términos</t>
  </si>
  <si>
    <t>1. Se involucra al Presidente.
2. Existe glosario de términos.</t>
  </si>
  <si>
    <t>1. Se involucra al Secretario, encargado de realizar la las acciones.
2. Existe glosario de términos.</t>
  </si>
  <si>
    <t>1. Se involucra al Secretario.
2. Existe glosario de términos.</t>
  </si>
  <si>
    <t xml:space="preserve">
RF11 Definir Evento</t>
  </si>
  <si>
    <t xml:space="preserve">
RF12 Ejecutar Evento</t>
  </si>
  <si>
    <t xml:space="preserve">
RF13 Generar reportes</t>
  </si>
  <si>
    <t>CU-11-1 Programar evento</t>
  </si>
  <si>
    <t>CU-11-2 Consultar proveedores</t>
  </si>
  <si>
    <t>CU-11-3 Registrar cotizaciones</t>
  </si>
  <si>
    <t>CU-11-4 Evaluar costos</t>
  </si>
  <si>
    <t>CU-12-1 Registrar asistencia</t>
  </si>
  <si>
    <t>CU-12-2 Cerrar evento</t>
  </si>
  <si>
    <t>CU-13-1 Reporte Participación de Socios</t>
  </si>
  <si>
    <t>CU-13-2 Reporte Historial de eventos</t>
  </si>
  <si>
    <t>CU-13-3 Reporte Liquidaciones</t>
  </si>
  <si>
    <t>1. Prioridad Alta asignada.
2. Sin programar el evento no pueden ejecutarse los demás casos de uso del módulo.</t>
  </si>
  <si>
    <t>1. Prioridad Alta asignada.
2. Es paso previo obligatorio para registrar cotizaciones y evaluar costos.</t>
  </si>
  <si>
    <t>1. Prioridad Alta asignada.
2. Apoya la toma de decisiones financieras antes de ejecutar el evento.</t>
  </si>
  <si>
    <t>1. Prioridad Alta asignada.
2. Sin cotizaciones registradas, el caso de uso Evaluar Costos no puede ejecutarse.</t>
  </si>
  <si>
    <t>1. Prioridad Media asignada.
2. Ocurre en una etapa avanzada del flujo, con menor urgencia sistémica que los requisitos de planificación.</t>
  </si>
  <si>
    <t>1. Prioridad Media asignada.
2. Es el paso final del ciclo del evento; su importancia es operativa y de trazabilidad.</t>
  </si>
  <si>
    <t>1. En la descripción del caso de Uso se especifica la prioridad Alta</t>
  </si>
  <si>
    <t>1. La prioridad esta declarada como "media", y al ser la asignación del rol, deberia estar como alta, pues al asignar el rol, se define los accesos del usuario.</t>
  </si>
  <si>
    <t>Prioridad declarada como "Media", algo correcto ya que editar la información de un socio es algo ocasional.</t>
  </si>
  <si>
    <t>1. Cada acción del Presidente (seleccionar, definir fecha/hora/ubicación, confirmar) y del sistema (verificar conflictos, registrar, cambiar estado) tiene una sola lectura posible.</t>
  </si>
  <si>
    <t>1. El flujo describe con precisión qué hace el usuario (filtrar, seleccionar, marcar candidatos) y qué responde el sistema. Los filtros por tipo de servicio y ubicación son suficientemente concretos.</t>
  </si>
  <si>
    <t>1. El paso 9 indica que el usuario marca cotizaciones como "preferidas", pero el paso 10 solo describe qué ocurre si se escogen varias. No se especifica qué pasa si se marca una sola.
2. El semáforo visual del paso 14 no aclara si se muestra siempre o solo al seleccionar preferidas.</t>
  </si>
  <si>
    <t>1. El flujo del Tesorero es directo: accede, selecciona, completa el formulario y confirma.
2. Las validaciones (campos completos, monto positivo, fecha posterior a la actual) están descritas sin doble interpretación.</t>
  </si>
  <si>
    <t>1. Los dos métodos de registro (QR y manual) están diferenciados con claridad y sus pasos no se superponen.
2. Las acciones del sistema en cada caso tienen una única interpretación.</t>
  </si>
  <si>
    <t>1. El flujo es secuencial y claro. Las validaciones previas al cierre están bien definidas y no generan ambigüedad.</t>
  </si>
  <si>
    <t xml:space="preserve">1.  Redacción en lenguaje claro.                                                                               2. El tutor y el equipo interpretan de igual manera el caso de uso </t>
  </si>
  <si>
    <t>1. Tiene una redacción en un lenguje claro</t>
  </si>
  <si>
    <t>Describe la acción de actualizar datos existentes.</t>
  </si>
  <si>
    <t>1. Referencia correctamente "CU Proponer Evento" como precondición.
2. El estado resultante "Definido" es coherente con los demás flujos del módulo.</t>
  </si>
  <si>
    <t>1. Referencia el módulo "Definir Evento" y el estado "Registrado y Definido" del evento como precondición.
2. Es coherente con el alcance actual del sistema.</t>
  </si>
  <si>
    <t>1. Referencia correctamente "Registrar Cotizaciones" como caso de uso incluido y "Consultar Proveedores" como extensión posible.
2. Está alineado con el estado actual del sistema.</t>
  </si>
  <si>
    <t>1. Referencia el módulo "Definir Evento" y el estado previo del evento.
2. El resultado alimenta directamente "Evaluar Costos", lo que mantiene la coherencia del sistema.</t>
  </si>
  <si>
    <t>1. Referencia "CU-005 Confirmar Asistencia" y el estado "Difundido" del evento.
2. Está articulado con el estado actual del sistema.</t>
  </si>
  <si>
    <t>1. Referencia el estado previo "En ejecución" y el efecto habilitador sobre la liquidación.
2. Alineado con los demás flujos del módulo.</t>
  </si>
  <si>
    <t>1. Toda nueva información ha sido incorporada, se han incorporado los últimos cambios pedidos luego del feedback realizado por el cliente</t>
  </si>
  <si>
    <t>1. Refleja las expectativas del Presidente: revisar propuestas, aprobar o rechazar, y definir los datos definitivos del evento.
2. El flujo coincide con la realidad operativa descrita en la entrevista.</t>
  </si>
  <si>
    <t>1. Refleja las expectativas de ambos actores: explorar el catálogo de proveedores, filtrar, revisar perfiles y marcar candidatos.
2. Coincide con lo descrito en la entrevista.</t>
  </si>
  <si>
    <t>1. Refleja lo que el Presidente y el Tesorero esperan: comparar cotizaciones, ver un cuadro comparativo con semáforo y elegir la opción más conveniente.</t>
  </si>
  <si>
    <t>1. Describe con precisión la secuencia real del Tesorero: seleccionar proveedor, completar formulario, validar datos y confirmar.</t>
  </si>
  <si>
    <t>1. Refleja las expectativas del Presidente: registrar asistencia por QR o de forma manual y obtener un resumen con tasa de participación.</t>
  </si>
  <si>
    <t>1. La precondición referencia la asistencia sin usar el identificador correcto (escribe "CU-Registrar Asistencia" en lugar de CU-012).
2. No se indica quién puede ver el reporte generado automáticamente en el paso 15.</t>
  </si>
  <si>
    <t>1. Está alineado con los objetivos del sistema.                                                                                                                                                                                                                        2. Refleja lo que realmente necesita el cliente.</t>
  </si>
  <si>
    <t xml:space="preserve">NOK </t>
  </si>
  <si>
    <t>1. No esta acoplado mucho a los objetivos del sistema, ya que al tener prioridad media, no estan dando la suficiente importancia a un dato escencial del sistema</t>
  </si>
  <si>
    <t>1. La edición de perfiles es una función lógica en cualquier gestión.</t>
  </si>
  <si>
    <t>Consisten</t>
  </si>
  <si>
    <t>1. El flujo diferencia correctamente aprobación y rechazo.
2. Las postcondiciones son coherentes con los pasos descritos. No hay contradicciones internas.</t>
  </si>
  <si>
    <t>1. La información del proveedor mostrada en el paso 6 coincide con el perfil detallado del paso 10.
2. Flujo, postcondiciones y excepciones están alineados.</t>
  </si>
  <si>
    <t>1. El costo total (paso 12) se calcula desde los subtotales por categoría (paso 11).
2. El semáforo (paso 14) depende directamente de esa comparación. La lógica es coherente de principio a fin.</t>
  </si>
  <si>
    <t>1. La lista de cotizaciones actualizada en el paso 14 es la misma que consume "Evaluar Costos".
2. Las validaciones son consistentes con los campos del formulario del paso 7.</t>
  </si>
  <si>
    <t>1. Los métodos QR y manual están diferenciados sin superponerse.
2. Las excepciones son coherentes con los errores esperados en cada método.</t>
  </si>
  <si>
    <t>1. Las tres validaciones previas al cierre (pasos 7, 8 y 9) son independientes entre sí.
2. El bloqueo de edición del paso 13 es consecuente con el carácter irreversible del cierre.</t>
  </si>
  <si>
    <t xml:space="preserve">1. Documentación basada en modelos: Diagrama de Casos de Uso
2. Usa términos definidos previamente.                                             </t>
  </si>
  <si>
    <t>1. Mantiene la integridad con los datos creados en el CU-001..</t>
  </si>
  <si>
    <t>1. Se puede probar que el sistema valide conflictos de fecha, cambie el estado a "Definido" y muestre el mensaje de confirmación.
2. Cada paso tiene un resultado observable.</t>
  </si>
  <si>
    <t>1. Es posible verificar que el sistema muestre proveedores, aplique filtros, muestre el perfil completo y registre los candidatos seleccionados.</t>
  </si>
  <si>
    <t>1. Las fórmulas de subtotales y costo total son verificables matemáticamente.
2. El semáforo y el cuadro comparativo son comprobables visualmente.</t>
  </si>
  <si>
    <t>1. Las validaciones del formulario y el cálculo del costo por persona son comprobables con pruebas unitarias.
2. El registro en base de datos es verificable directamente.</t>
  </si>
  <si>
    <t>1. Se puede probar la validación del QR, el marcado como Presente, el registro de hora y el cálculo de la tasa de participación con datos de prueba.</t>
  </si>
  <si>
    <t>1. Las tres precondiciones del cierre, el bloqueo de edición y la habilitación de la liquidación son resultados observables y testeables.</t>
  </si>
  <si>
    <t>1. El cumplimiento de este requisito puede ser verificado. Los pasos están bien definidos, y puedes probar el flujo del ingreso de los datos y ek estado del socio.</t>
  </si>
  <si>
    <t>1. Filtros por tipo de evento son testables.                                     2. Notificaciones en tiempos configurados son verificables.                                                                                           3. Mensaje de "no hay eventos" es comprobable.</t>
  </si>
  <si>
    <t>1. Basta con editar un campo y verificar que el cambio persista.</t>
  </si>
  <si>
    <t>1. Verificar conflictos de fecha es una consulta estándar a base de datos.
2. El cambio de estado y el registro de datos son operaciones CRUD convencionales.</t>
  </si>
  <si>
    <t>1. El listado, filtrado y visualización de proveedores son funcionalidades estándar en sistemas web o móviles.
2. Asociar candidatos a un evento es una operación simple de base de datos.</t>
  </si>
  <si>
    <t>1. Los cálculos de subtotales y costo total son operaciones aritméticas básicas.
2. El semáforo visual es un componente de UI estándar implementable con tecnologías actuales.</t>
  </si>
  <si>
    <t>1. El formulario, las validaciones y el cálculo del costo por persona son funcionalidades básicas de cualquier sistema de gestión.</t>
  </si>
  <si>
    <t>1. La lectura de QR es capacidad estándar en móviles modernos.
2. El registro manual con validación en lista de confirmados es una consulta y escritura simple en base de datos.</t>
  </si>
  <si>
    <t>1. Actualizar estados, bloquear campos y habilitar un caso de uso posterior son operaciones técnicas estándar, realizables con las tecnologías actuales del proyecto.</t>
  </si>
  <si>
    <t>1. Funcionalidad tomada en cuenta dentro de la estimación del costo del proyecto ($1827)
2. No se ha desarrollado</t>
  </si>
  <si>
    <t>Es una actualización (Update) básica en la base de datos.</t>
  </si>
  <si>
    <t>1. Identificador único: CU-008.
2. Referencia explícita a "CU Proponer Evento" como precondición.
3. Su origen está documentado en la entrevista con los stakeholders.</t>
  </si>
  <si>
    <t>1. Identificador único: CU-009.
2. Vinculado como precondición de CU-011 y como extensión posible de CU-010.
3. Punto de acceso claro desde el módulo "Definir Evento".</t>
  </si>
  <si>
    <t>1. En el PDF aparece como "CU-010 Evaluar Costos", pero en la tabla de ejemplo de otros compañeros figura como "CU-010 Ingresar Proveedor".
2. La inconsistencia en la nomenclatura entre documentos afecta la trazabilidad.</t>
  </si>
  <si>
    <t>1. Identificador único: CU-011.
2. Referencia CU-009 como insumo previo y su resultado alimenta directamente CU-010.
3. Trazabilidad clara dentro del flujo.</t>
  </si>
  <si>
    <t>1. Identificador único: CU-012.
2. Referencia el estado "Difundido" del evento y vincula su resultado con CU-013.
3. Correctamente ubicado en el módulo "Ejecutar Evento".</t>
  </si>
  <si>
    <t>1. Identificador: CU-013.
2. La precondición referencia la asistencia como "CU-Registrar Asistencia" en lugar de CU-012, rompiendo la trazabilidad formal entre requisitos.</t>
  </si>
  <si>
    <t>1. No se refleja en claro las relaciones con lode demás requisitos q deben estar asociados</t>
  </si>
  <si>
    <t>Vinculado al requerimiento de control de acceso por niveles.</t>
  </si>
  <si>
    <t>Se vincula a la gestión continua de la membresía del club.</t>
  </si>
  <si>
    <t>1. El paso 11 dice "el software registra la programación del evento EN DONDE", lo que evidencia un campo incompleto.
2. No se especifica en qué módulo o tabla se almacena la información.</t>
  </si>
  <si>
    <t>1. Cubre todos los aspectos: acceso, listado, filtros, perfil del proveedor, selección de candidatos y registro en el sistema.
2. Las excepciones contemplan todos los errores posibles.</t>
  </si>
  <si>
    <t>1. Abarca recuperación de cotizaciones, comparación, cálculo de subtotales y costo total, validación presupuestaria, semáforo y selección final.</t>
  </si>
  <si>
    <t>1. Cubre selección de proveedor, formulario completo, validaciones, cálculo del costo por persona y actualización de la lista.
2. Las excepciones son exhaustivas.</t>
  </si>
  <si>
    <t>1. Trata los dos métodos de registro (QR y manual), validación de identidad, marcado de asistencia, cálculo de tasa de participación y resumen final.</t>
  </si>
  <si>
    <t>1. El paso 15 menciona un reporte generado automáticamente, pero no especifica su formato ni quién puede accederlo.
2. Queda sin definir si ese reporte está disponible para el proceso de liquidación.</t>
  </si>
  <si>
    <t xml:space="preserve">
1. Falta el flujo de error si la cédula ya está registrada o es inválida </t>
  </si>
  <si>
    <t>1.No aclara si un socio puede tener dos roles al mismo tiempo.</t>
  </si>
  <si>
    <t>1. No define qué campos no se pueden editar (ej. la cédula.</t>
  </si>
  <si>
    <t>1. Usa terminología clara del dominio (evento, propuesta, Presidente).
2. El flujo es secuencial y comprensible sin conocimiento técnico.</t>
  </si>
  <si>
    <t>1. Lenguaje accesible y directo.
2. Términos como "candidatos", "filtros" y "perfil" son comprensibles para cualquier interesado.</t>
  </si>
  <si>
    <t>1. La estructura general es clara.
2. Las fórmulas del paso 11 pueden resultar técnicas para un lector no especializado; se recomienda acompañarlas de un ejemplo.</t>
  </si>
  <si>
    <t>1. Flujo claro para cualquier lector.
2. El formulario está bien detallado y el cálculo del costo por persona es fácil de entender.</t>
  </si>
  <si>
    <t>1. Distingue claramente los dos métodos de registro.
2. Los conceptos "Presente" y "Presente (manual)" son autoexplicativos.</t>
  </si>
  <si>
    <t>1. Flujo bien organizado con validaciones previas claras.
2. No contiene lenguaje técnico que dificulte la comprensión.</t>
  </si>
  <si>
    <t>1. Se involucra al cliente
2. Existe glosario de términos</t>
  </si>
  <si>
    <t>FECHA:</t>
  </si>
  <si>
    <t>AUTOR:</t>
  </si>
  <si>
    <t>Alex Cuzco</t>
  </si>
  <si>
    <t>REQUERIMIENTOS EVALUADOS :</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</si>
  <si>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</si>
  <si>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</si>
  <si>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</si>
  <si>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</si>
  <si>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</si>
  <si>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</si>
  <si>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</si>
  <si>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</si>
  <si>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</si>
  <si>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</si>
  <si>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</si>
  <si>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</si>
  <si>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</si>
  <si>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</si>
  <si>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</si>
  <si>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</si>
  <si>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</si>
  <si>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</si>
  <si>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</si>
  <si>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</si>
  <si>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</si>
  <si>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</si>
  <si>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</si>
  <si>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</si>
  <si>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</si>
  <si>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</si>
  <si>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</si>
  <si>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</si>
  <si>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</si>
  <si>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CU-009 Difundir Información del Evento</t>
  </si>
  <si>
    <t>Pablo Domínguez</t>
  </si>
  <si>
    <t xml:space="preserve">CU-010 Ingresar Proveedor
</t>
  </si>
  <si>
    <t xml:space="preserve">CU-011 Definir Evento
</t>
  </si>
  <si>
    <t xml:space="preserve">CU-012 Ejecutar Evento
</t>
  </si>
  <si>
    <t xml:space="preserve">CU-013 Generar reportes
</t>
  </si>
  <si>
    <t>PREGUNTA</t>
  </si>
  <si>
    <t>RECOMENDACIÓN</t>
  </si>
  <si>
    <t>¿Las categorías de gasto (alimentación, transporte, decoración, etc.) son una lista fija predefinida en el sistema o el Tesorero puede ingresar texto libre? ¿Y cuál es el formato válido para el campo monto (número entero, decimal con dos cifras, separador de miles)?</t>
  </si>
  <si>
    <t>En el paso 3, especificar el tipo de dato y restricciones de cada campo (ej. "monto: decimal positivo con 2 cifras") y definir si las categorías son una lista fija. Agregar en las excepciones el mensaje exacto del sistema para cada error.</t>
  </si>
  <si>
    <t>¿El aporte económico de un socio afecta directamente el presupuesto del evento, se emite algún comprobante digital al validar el pago, y qué ocurre si el monto supera la cuota estándar requerida?</t>
  </si>
  <si>
    <t>Agregar en la secuencia normal si el aporte impacta el presupuesto del evento, incluir un paso para la generación del comprobante digital y definir en las excepciones el flujo exacto cuando el monto supera la cuota estándar.</t>
  </si>
  <si>
    <t>¿Qué cronograma específico sigue el sistema para programar las notificaciones al registrar el evento?</t>
  </si>
  <si>
    <t>Sería recomendable reemplazar "según el cronograma definido" en el paso 10 por los tiempos exactos de notificación.</t>
  </si>
  <si>
    <t>¿De qué reunión o entrevista surgió este requerimiento y qué relación tiene con los requisitos no funcionales del sistema?</t>
  </si>
  <si>
    <t>Agregar el origen del requerimiento y sus vínculos explícitos con NF-04 y NF-05.</t>
  </si>
  <si>
    <t>¿Qué ocurre si el Presidente intenta registrar el evento sin haber completado la evaluación de costos o sube documentos duplicados?</t>
  </si>
  <si>
    <t>Incluir excepción para documentos duplicados y definir tipos y tamaños máximos de archivos permitidos.</t>
  </si>
  <si>
    <t>¿Qué condición exacta determina que la configuración de difusión es "coherente" con la fecha del evento?</t>
  </si>
  <si>
    <t>Reemplazar "coherente" por una regla concreta medible (ej. "la fecha de envío debe ser mínimo 15 días antes del evento").</t>
  </si>
  <si>
    <t>¿De qué fuente surgió este requerimiento y cómo se relaciona con los requisitos de conectividad y rendimiento del sistema?</t>
  </si>
  <si>
    <t>Agregar el origen del requerimiento y sus vínculos con NF-03 y NF-06.</t>
  </si>
  <si>
    <t>¿Qué ocurre si un socio no tiene WhatsApp configurado y existe un límite de caracteres para el mensaje personalizable?</t>
  </si>
  <si>
    <t>Agregar excepción para socios sin WhatsApp, error al cargar la plantilla institucional y definir el límite máximo de caracteres del mensaje.</t>
  </si>
  <si>
    <t>¿Bajo qué escala se asigna la calificación inicial del proveedor?</t>
  </si>
  <si>
    <t>Definir la escala con valores exactos (ej. "1 a 5 estrellas") en el paso 8.</t>
  </si>
  <si>
    <t>¿El caso de uso aplica solo para proveedores de viajes terrestres o para cualquier tipo de servicio?</t>
  </si>
  <si>
    <t>Corregir la descripción para que refleje todos los tipos de proveedores que maneja el sistema.</t>
  </si>
  <si>
    <t>¿Por qué la descripción menciona viajes terrestres si el formulario incluye categorías como alimentación, sonido y decoración?</t>
  </si>
  <si>
    <t>Unificar la descripción del caso de uso con las categorías reales del formulario para eliminar la contradicción.</t>
  </si>
  <si>
    <t>¿Qué campos del formulario son obligatorios, cuál es el formato válido del email y teléfono, y cómo se validan?</t>
  </si>
  <si>
    <t>Especificar campos obligatorios y opcionales, agregar validaciones de formato para email y teléfono en las excepciones.</t>
  </si>
  <si>
    <t>¿Qué reunión o entrevista originó este requerimiento y qué relación tiene con los requisitos no funcionales del sistema?</t>
  </si>
  <si>
    <t>Agregar el origen del requerimiento con referencia explícita a la entrevista realizada y sus vínculos con los NF correspondientes (ej. NF-01, NF-02).</t>
  </si>
  <si>
    <t xml:space="preserve">¿En qué módulo o tabla del sistema se almacena la programación del evento? </t>
  </si>
  <si>
    <t>Completar el paso 11 indicando el módulo o tabla de destino. Mientras no se defina, el requisito queda incompleto e iimplementable.</t>
  </si>
  <si>
    <t>¿El identificador CU-010 corresponde a "Evaluar Costos" o a "Ingresar Proveedor"? Hay dos documentos que asignan ese mismo ID a casos de uso distintos.</t>
  </si>
  <si>
    <t>Unificar la numeración entre el equipo. Asignar un identificador único a cada caso de uso y actualizar todas las referencias en el documento.</t>
  </si>
  <si>
    <t>¿Qué ocurre en Evaluar Costos si el usuario marca una sola cotización como preferida? El flujo solo describe el caso de varias.</t>
  </si>
  <si>
    <t>Agregar en la secuencia normal o en las excepciones el comportamiento del sistema cuando se selecciona únicamente una cotización preferida.</t>
  </si>
  <si>
    <t>¿El semáforo visual de Evaluar Costos se muestra siempre o solo cuando hay cotizaciones preferidas seleccionadas?</t>
  </si>
  <si>
    <t>Especificar la condición exacta que activa el semáforo. Una regla concreta evita interpretaciones distintas durante el desarrollo.</t>
  </si>
  <si>
    <t>¿La precondición de CU-011 hace referencia a "RF 10 INGRESAR PROVEEDORES", pero ese nombre no existe en el documento. ¿A qué caso de uso corresponde realmente?</t>
  </si>
  <si>
    <t>Reemplazar "RF 10 INGRESAR PROVEEDORES" por el identificador correcto (CU-009 Consultar Proveedores) y verificar todas las referencias cruzadas del módulo.</t>
  </si>
  <si>
    <t>Agregar el origen del requerimiento con referencia explícita a la entrevista realizada y sus vínculos con los NF correspondientes.</t>
  </si>
  <si>
    <t>La precondición de CU-013 dice "CU-Registrar Asistencia" sin número. ¿Por qué no se usa el identificador CU-012?</t>
  </si>
  <si>
    <t>Reemplazar la referencia incompleta por CU-012. Todas las precondiciones deben usar el identificador oficial para mantener la trazabilidad.</t>
  </si>
  <si>
    <t>¿Quién puede ver el reporte de asistencia generado automáticamente en el paso 15 de CU-013? ¿Está disponible para la liquidación?</t>
  </si>
  <si>
    <t>Especificar el actor que accede al reporte y si su resultado queda disponible como insumo para el caso de uso de liquidación financiera.</t>
  </si>
  <si>
    <t>¿Qué formato tiene el reporte de asistencia del paso 15 de CU-013? ¿PDF, Excel, pantalla?</t>
  </si>
  <si>
    <t>Definir el formato de salida del reporte. Sin eso, el requisito es incompleto y cada desarrollador puede interpretarlo de forma distinta.</t>
  </si>
  <si>
    <t>¿Qué ocurre si el Presidente intenta cerrar el evento sin haber registrado ningún gasto? ¿El sistema bloquea o advierte?</t>
  </si>
  <si>
    <t>Agregar una excepción específica para ese caso, diferenciando entre bloqueo total o advertencia con opción de continuar.</t>
  </si>
  <si>
    <t>Agregar en la documentación del CU-013 el origen explícito (ej. “Entrevista del 10/05, minuta #4”). Vincular cada tipo de reporte con los RNF correspondientes.</t>
  </si>
  <si>
    <t>El CU-013 contempla tres tipos de reporte (participación, historial, liquidaciones). ¿Se generan con los mismos criterios de filtrado?</t>
  </si>
  <si>
    <t>Unificar la nomenclatura de filtros en los tres tipos: rango de fechas, tipo de evento, estado, evento específico. Si hay diferencias (ej. liquidaciones incluye estado financiero), documentarlas en una tabla comparativa.</t>
  </si>
  <si>
    <t>El CU-013 no especifica tiempos de respuesta ni volumen máximo de datos. ¿Hay requisitos no funcionales asociados?</t>
  </si>
  <si>
    <t>Agregar RNF explícitos: “El reporte para un rango de hasta 12 meses no tardará más de 5 segundos en generarse”. “La exportación a PDF para 500 eventos no excederá 10 segundos”.</t>
  </si>
  <si>
    <t>CU-010 Ingresar Proveedor</t>
  </si>
  <si>
    <t>CU-011 Definir Evento</t>
  </si>
  <si>
    <t>CU-012 Ejecutar Evento</t>
  </si>
  <si>
    <t>CU-013 Generar Reportes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</si>
</sst>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scheme val="minor"/>
    </font>
    <font>
      <sz val="8"/>
      <color theme="1"/>
      <name val="Arial"/>
    </font>
    <font>
      <b/>
      <sz val="18"/>
      <color rgb="FF1F497D"/>
      <name val="Calibri"/>
    </font>
    <font>
      <sz val="11"/>
      <name val="Calibri"/>
    </font>
    <font>
      <b/>
      <sz val="18"/>
      <color theme="1"/>
      <name val="Calibri"/>
    </font>
    <font>
      <b/>
      <sz val="18"/>
      <color theme="1"/>
      <name val="Arial"/>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b/>
      <sz val="16"/>
      <color rgb="FFFFFFFF"/>
      <name val="Calibri"/>
    </font>
    <font>
      <b/>
      <sz val="14"/>
      <color theme="1"/>
      <name val="Calibri"/>
    </font>
    <font>
      <sz val="14"/>
      <color theme="1"/>
      <name val="Calibri"/>
    </font>
    <font>
      <b/>
      <sz val="18"/>
      <color rgb="FFFA7D00"/>
      <name val="Calibri"/>
    </font>
    <font>
      <sz val="11"/>
      <color theme="1"/>
      <name val="Calibri"/>
      <scheme val="minor"/>
    </font>
    <font>
      <sz val="12"/>
      <color theme="1"/>
      <name val="Calibri"/>
    </font>
    <font>
      <b/>
      <sz val="12"/>
      <color theme="1"/>
      <name val="Calibri"/>
    </font>
  </fonts>
  <fills count="10">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4F81BD"/>
        <bgColor rgb="FF4F81BD"/>
      </patternFill>
    </fill>
    <fill>
      <patternFill patternType="solid">
        <fgColor rgb="FFFF0000"/>
        <bgColor rgb="FFFF0000"/>
      </patternFill>
    </fill>
    <fill>
      <patternFill patternType="solid">
        <fgColor rgb="FFB8CCE4"/>
        <bgColor rgb="FFB8CCE4"/>
      </patternFill>
    </fill>
    <fill>
      <patternFill patternType="solid">
        <fgColor theme="0"/>
        <bgColor theme="0"/>
      </patternFill>
    </fill>
    <fill>
      <patternFill patternType="solid">
        <fgColor rgb="FFFFFF00"/>
        <bgColor rgb="FFFFFF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thin">
        <color rgb="FF000000"/>
      </right>
      <top/>
      <bottom style="thin">
        <color rgb="FF000000"/>
      </bottom>
      <diagonal/>
    </border>
    <border>
      <left/>
      <right/>
      <top/>
      <bottom style="thin">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1">
    <xf numFmtId="0" fontId="0" fillId="0" borderId="0" xfId="0" applyFont="1" applyAlignment="1"/>
    <xf numFmtId="0" fontId="1" fillId="0" borderId="0" xfId="0" applyFont="1" applyAlignment="1">
      <alignment horizontal="center"/>
    </xf>
    <xf numFmtId="0" fontId="8" fillId="0" borderId="0" xfId="0" applyFont="1"/>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1" fillId="5" borderId="20" xfId="0" applyFont="1" applyFill="1" applyBorder="1" applyAlignment="1">
      <alignment vertical="center" wrapText="1"/>
    </xf>
    <xf numFmtId="0" fontId="10" fillId="4" borderId="21" xfId="0" applyFont="1" applyFill="1" applyBorder="1" applyAlignment="1">
      <alignment horizontal="center" vertical="center" wrapText="1"/>
    </xf>
    <xf numFmtId="0" fontId="11" fillId="5" borderId="20" xfId="0" applyFont="1" applyFill="1" applyBorder="1" applyAlignment="1">
      <alignment vertical="center" wrapText="1"/>
    </xf>
    <xf numFmtId="0" fontId="10" fillId="6"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6" borderId="23"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1" fillId="3" borderId="18" xfId="0" applyFont="1" applyFill="1" applyBorder="1" applyAlignment="1">
      <alignment horizontal="left" vertical="center" wrapText="1"/>
    </xf>
    <xf numFmtId="0" fontId="11" fillId="3" borderId="23" xfId="0" applyFont="1" applyFill="1" applyBorder="1" applyAlignment="1">
      <alignment vertical="center" wrapText="1"/>
    </xf>
    <xf numFmtId="0" fontId="11" fillId="3" borderId="23" xfId="0" applyFont="1" applyFill="1" applyBorder="1" applyAlignment="1">
      <alignment vertical="center" wrapText="1"/>
    </xf>
    <xf numFmtId="0" fontId="11" fillId="3" borderId="23" xfId="0" applyFont="1" applyFill="1" applyBorder="1" applyAlignment="1">
      <alignment horizontal="left" vertical="center" wrapText="1"/>
    </xf>
    <xf numFmtId="0" fontId="11" fillId="3" borderId="23" xfId="0" applyFont="1" applyFill="1" applyBorder="1" applyAlignment="1">
      <alignment horizontal="left" vertical="center" wrapText="1"/>
    </xf>
    <xf numFmtId="0" fontId="10" fillId="6" borderId="23" xfId="0" applyFont="1" applyFill="1" applyBorder="1" applyAlignment="1">
      <alignment horizontal="center" vertical="center" wrapText="1"/>
    </xf>
    <xf numFmtId="0" fontId="11" fillId="3" borderId="28" xfId="0" applyFont="1" applyFill="1" applyBorder="1" applyAlignment="1">
      <alignment horizontal="left" vertical="center" wrapText="1"/>
    </xf>
    <xf numFmtId="0" fontId="11" fillId="3" borderId="28" xfId="0" applyFont="1" applyFill="1" applyBorder="1" applyAlignment="1">
      <alignment horizontal="left" vertical="center" wrapText="1"/>
    </xf>
    <xf numFmtId="0" fontId="8" fillId="0" borderId="0" xfId="0" applyFont="1" applyAlignment="1">
      <alignment vertical="top"/>
    </xf>
    <xf numFmtId="0" fontId="14" fillId="7" borderId="23" xfId="0" applyFont="1" applyFill="1" applyBorder="1" applyAlignment="1">
      <alignment horizontal="center" vertical="center"/>
    </xf>
    <xf numFmtId="0" fontId="8" fillId="0" borderId="23" xfId="0" applyFont="1" applyBorder="1" applyAlignment="1">
      <alignment horizontal="center" vertical="center"/>
    </xf>
    <xf numFmtId="0" fontId="8" fillId="0" borderId="23" xfId="0" applyFont="1" applyBorder="1" applyAlignment="1">
      <alignment wrapText="1"/>
    </xf>
    <xf numFmtId="0" fontId="8" fillId="0" borderId="23" xfId="0" applyFont="1" applyBorder="1" applyAlignment="1">
      <alignment horizontal="center" vertical="center"/>
    </xf>
    <xf numFmtId="0" fontId="8" fillId="8" borderId="23" xfId="0" applyFont="1" applyFill="1" applyBorder="1" applyAlignment="1">
      <alignment horizontal="center" vertical="center"/>
    </xf>
    <xf numFmtId="0" fontId="8" fillId="0" borderId="23" xfId="0" applyFont="1" applyBorder="1"/>
    <xf numFmtId="9" fontId="8" fillId="0" borderId="23" xfId="0" applyNumberFormat="1" applyFont="1" applyBorder="1"/>
    <xf numFmtId="0" fontId="13" fillId="0" borderId="0" xfId="0" applyFont="1" applyAlignment="1">
      <alignment horizontal="left" vertical="center"/>
    </xf>
    <xf numFmtId="9" fontId="8" fillId="0" borderId="0" xfId="0" applyNumberFormat="1" applyFont="1"/>
    <xf numFmtId="0" fontId="13" fillId="0" borderId="23" xfId="0" applyFont="1" applyBorder="1" applyAlignment="1">
      <alignment horizontal="center" vertical="center"/>
    </xf>
    <xf numFmtId="0" fontId="10" fillId="0" borderId="23" xfId="0" applyFont="1" applyBorder="1" applyAlignment="1">
      <alignment horizontal="center" vertical="center"/>
    </xf>
    <xf numFmtId="0" fontId="8" fillId="0" borderId="23" xfId="0" applyFont="1" applyBorder="1" applyAlignment="1">
      <alignment vertical="top"/>
    </xf>
    <xf numFmtId="0" fontId="8" fillId="0" borderId="23" xfId="0" applyFont="1" applyBorder="1" applyAlignment="1"/>
    <xf numFmtId="0" fontId="16" fillId="0" borderId="0" xfId="0" applyFont="1" applyAlignment="1">
      <alignment horizontal="center" vertical="center"/>
    </xf>
    <xf numFmtId="0" fontId="8" fillId="6" borderId="23" xfId="0" applyFont="1" applyFill="1" applyBorder="1" applyAlignment="1">
      <alignment horizontal="center" vertical="center"/>
    </xf>
    <xf numFmtId="0" fontId="13" fillId="0" borderId="0" xfId="0" applyFont="1" applyAlignment="1">
      <alignment horizontal="center"/>
    </xf>
    <xf numFmtId="0" fontId="17" fillId="0" borderId="0" xfId="0" applyFont="1"/>
    <xf numFmtId="0" fontId="18" fillId="0" borderId="23" xfId="0" applyFont="1" applyBorder="1" applyAlignment="1">
      <alignment horizontal="center" vertical="center" wrapText="1"/>
    </xf>
    <xf numFmtId="0" fontId="17" fillId="0" borderId="23" xfId="0" applyFont="1" applyBorder="1" applyAlignment="1">
      <alignment vertical="center" wrapText="1"/>
    </xf>
    <xf numFmtId="0" fontId="17" fillId="9" borderId="0" xfId="0" applyFont="1" applyFill="1"/>
    <xf numFmtId="0" fontId="16" fillId="9" borderId="0" xfId="0" applyFont="1" applyFill="1"/>
    <xf numFmtId="0" fontId="18" fillId="0" borderId="23" xfId="0" applyFont="1" applyBorder="1" applyAlignment="1">
      <alignment horizontal="center" wrapText="1"/>
    </xf>
    <xf numFmtId="0" fontId="18" fillId="0" borderId="23" xfId="0" applyFont="1" applyBorder="1" applyAlignment="1">
      <alignment horizontal="center" vertical="center" wrapText="1"/>
    </xf>
    <xf numFmtId="0" fontId="18" fillId="0" borderId="23" xfId="0" applyFont="1" applyBorder="1" applyAlignment="1">
      <alignment horizontal="center" wrapText="1"/>
    </xf>
    <xf numFmtId="0" fontId="17" fillId="0" borderId="23" xfId="0" applyFont="1" applyBorder="1" applyAlignment="1">
      <alignment wrapText="1"/>
    </xf>
    <xf numFmtId="0" fontId="6" fillId="2" borderId="14" xfId="0" applyFont="1" applyFill="1" applyBorder="1" applyAlignment="1">
      <alignment horizontal="center" vertical="center" wrapText="1"/>
    </xf>
    <xf numFmtId="0" fontId="3" fillId="0" borderId="15" xfId="0" applyFont="1" applyBorder="1"/>
    <xf numFmtId="0" fontId="7" fillId="2" borderId="14"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0" borderId="7" xfId="0" applyFont="1" applyBorder="1" applyAlignment="1">
      <alignment horizontal="center" vertical="center" wrapText="1"/>
    </xf>
    <xf numFmtId="0" fontId="0" fillId="0" borderId="0" xfId="0" applyFont="1" applyAlignment="1"/>
    <xf numFmtId="0" fontId="4" fillId="0" borderId="1" xfId="0" applyFont="1" applyBorder="1" applyAlignment="1">
      <alignment horizontal="left" vertical="center" wrapText="1"/>
    </xf>
    <xf numFmtId="0" fontId="5" fillId="2" borderId="8" xfId="0" applyFont="1" applyFill="1" applyBorder="1" applyAlignment="1">
      <alignment horizontal="center" vertical="center"/>
    </xf>
    <xf numFmtId="0" fontId="3" fillId="0" borderId="9" xfId="0" applyFont="1" applyBorder="1"/>
    <xf numFmtId="0" fontId="3" fillId="0" borderId="10" xfId="0" applyFont="1" applyBorder="1"/>
    <xf numFmtId="0" fontId="6" fillId="2" borderId="1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3" fillId="0" borderId="12" xfId="0" applyFont="1" applyBorder="1"/>
    <xf numFmtId="0" fontId="7" fillId="2" borderId="13" xfId="0" applyFont="1" applyFill="1" applyBorder="1" applyAlignment="1">
      <alignment horizontal="center" vertical="center" wrapText="1"/>
    </xf>
    <xf numFmtId="0" fontId="3" fillId="0" borderId="16" xfId="0" applyFont="1" applyBorder="1"/>
    <xf numFmtId="0" fontId="12" fillId="3" borderId="8"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3" fillId="0" borderId="8" xfId="0" applyFont="1" applyBorder="1" applyAlignment="1">
      <alignment horizontal="left" vertical="top"/>
    </xf>
    <xf numFmtId="0" fontId="14" fillId="0" borderId="8" xfId="0" applyFont="1" applyBorder="1" applyAlignment="1">
      <alignment horizontal="left" vertical="top" wrapText="1"/>
    </xf>
    <xf numFmtId="0" fontId="13" fillId="0" borderId="8" xfId="0" applyFont="1" applyBorder="1" applyAlignment="1">
      <alignment horizontal="left"/>
    </xf>
    <xf numFmtId="15" fontId="14" fillId="0" borderId="8" xfId="0" applyNumberFormat="1" applyFont="1" applyBorder="1" applyAlignment="1">
      <alignment horizontal="left" wrapText="1"/>
    </xf>
    <xf numFmtId="0" fontId="14" fillId="0" borderId="8" xfId="0" applyFont="1" applyBorder="1" applyAlignment="1">
      <alignment horizontal="left" wrapText="1"/>
    </xf>
    <xf numFmtId="0" fontId="13" fillId="0" borderId="8" xfId="0" applyFont="1" applyBorder="1" applyAlignment="1">
      <alignment horizontal="left" vertical="center"/>
    </xf>
    <xf numFmtId="0" fontId="13" fillId="0" borderId="8" xfId="0" applyFont="1" applyBorder="1" applyAlignment="1">
      <alignment horizontal="center"/>
    </xf>
    <xf numFmtId="0" fontId="15" fillId="0" borderId="8" xfId="0" applyFont="1" applyBorder="1" applyAlignment="1">
      <alignment horizontal="center" vertical="center"/>
    </xf>
    <xf numFmtId="0" fontId="18" fillId="0" borderId="8" xfId="0" applyFont="1" applyBorder="1" applyAlignment="1">
      <alignment horizontal="center" vertical="center"/>
    </xf>
    <xf numFmtId="0" fontId="18" fillId="0" borderId="8" xfId="0" applyFont="1" applyBorder="1" applyAlignment="1">
      <alignment horizontal="center"/>
    </xf>
  </cellXfs>
  <cellStyles count="1">
    <cellStyle name="Normal" xfId="0" builtinId="0"/>
  </cellStyles>
  <dxfs count="136">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24">
    <tableStyle name="MODELO LISTA DE COMPROBACION 1-style" pivot="0" count="3" xr9:uid="{00000000-0011-0000-FFFF-FFFF00000000}">
      <tableStyleElement type="headerRow" dxfId="135"/>
      <tableStyleElement type="firstRowStripe" dxfId="134"/>
      <tableStyleElement type="secondRowStripe" dxfId="133"/>
    </tableStyle>
    <tableStyle name="MODELO LISTA DE COMPROBACION 1-style 2" pivot="0" count="3" xr9:uid="{00000000-0011-0000-FFFF-FFFF01000000}">
      <tableStyleElement type="headerRow" dxfId="132"/>
      <tableStyleElement type="firstRowStripe" dxfId="131"/>
      <tableStyleElement type="secondRowStripe" dxfId="130"/>
    </tableStyle>
    <tableStyle name="MODELO LISTA DE COMPROBACION 1-style 3" pivot="0" count="3" xr9:uid="{00000000-0011-0000-FFFF-FFFF02000000}">
      <tableStyleElement type="headerRow" dxfId="129"/>
      <tableStyleElement type="firstRowStripe" dxfId="128"/>
      <tableStyleElement type="secondRowStripe" dxfId="127"/>
    </tableStyle>
    <tableStyle name="MODELO LISTA DE COMPROBACION 2-style" pivot="0" count="3" xr9:uid="{00000000-0011-0000-FFFF-FFFF03000000}">
      <tableStyleElement type="headerRow" dxfId="126"/>
      <tableStyleElement type="firstRowStripe" dxfId="125"/>
      <tableStyleElement type="secondRowStripe" dxfId="124"/>
    </tableStyle>
    <tableStyle name="MODELO LISTA DE COMPROBACION 2-style 2" pivot="0" count="3" xr9:uid="{00000000-0011-0000-FFFF-FFFF04000000}">
      <tableStyleElement type="headerRow" dxfId="123"/>
      <tableStyleElement type="firstRowStripe" dxfId="122"/>
      <tableStyleElement type="secondRowStripe" dxfId="121"/>
    </tableStyle>
    <tableStyle name="MODELO LISTA DE COMPROBACION 2-style 3" pivot="0" count="3" xr9:uid="{00000000-0011-0000-FFFF-FFFF05000000}">
      <tableStyleElement type="headerRow" dxfId="120"/>
      <tableStyleElement type="firstRowStripe" dxfId="119"/>
      <tableStyleElement type="secondRowStripe" dxfId="118"/>
    </tableStyle>
    <tableStyle name="MODELO LISTA DE COMPROBACION 3-style" pivot="0" count="3" xr9:uid="{00000000-0011-0000-FFFF-FFFF06000000}">
      <tableStyleElement type="headerRow" dxfId="117"/>
      <tableStyleElement type="firstRowStripe" dxfId="116"/>
      <tableStyleElement type="secondRowStripe" dxfId="115"/>
    </tableStyle>
    <tableStyle name="MODELO LISTA DE COMPROBACION 3-style 2" pivot="0" count="3" xr9:uid="{00000000-0011-0000-FFFF-FFFF07000000}">
      <tableStyleElement type="headerRow" dxfId="114"/>
      <tableStyleElement type="firstRowStripe" dxfId="113"/>
      <tableStyleElement type="secondRowStripe" dxfId="112"/>
    </tableStyle>
    <tableStyle name="MODELO LISTA DE COMPROBACION 3-style 3" pivot="0" count="3" xr9:uid="{00000000-0011-0000-FFFF-FFFF08000000}">
      <tableStyleElement type="headerRow" dxfId="111"/>
      <tableStyleElement type="firstRowStripe" dxfId="110"/>
      <tableStyleElement type="secondRowStripe" dxfId="109"/>
    </tableStyle>
    <tableStyle name="MODELO LISTA DE COMPROBACION 4-style" pivot="0" count="3" xr9:uid="{00000000-0011-0000-FFFF-FFFF09000000}">
      <tableStyleElement type="headerRow" dxfId="108"/>
      <tableStyleElement type="firstRowStripe" dxfId="107"/>
      <tableStyleElement type="secondRowStripe" dxfId="106"/>
    </tableStyle>
    <tableStyle name="MODELO LISTA DE COMPROBACION 4-style 2" pivot="0" count="3" xr9:uid="{00000000-0011-0000-FFFF-FFFF0A000000}">
      <tableStyleElement type="headerRow" dxfId="105"/>
      <tableStyleElement type="firstRowStripe" dxfId="104"/>
      <tableStyleElement type="secondRowStripe" dxfId="103"/>
    </tableStyle>
    <tableStyle name="MODELO LISTA DE COMPROBACION 4-style 3" pivot="0" count="3" xr9:uid="{00000000-0011-0000-FFFF-FFFF0B000000}">
      <tableStyleElement type="headerRow" dxfId="102"/>
      <tableStyleElement type="firstRowStripe" dxfId="101"/>
      <tableStyleElement type="secondRowStripe" dxfId="100"/>
    </tableStyle>
    <tableStyle name="MODELO LISTA DE COMPROBACION 5-style" pivot="0" count="3" xr9:uid="{00000000-0011-0000-FFFF-FFFF0C000000}">
      <tableStyleElement type="headerRow" dxfId="99"/>
      <tableStyleElement type="firstRowStripe" dxfId="98"/>
      <tableStyleElement type="secondRowStripe" dxfId="97"/>
    </tableStyle>
    <tableStyle name="MODELO LISTA DE COMPROBACION 5-style 2" pivot="0" count="3" xr9:uid="{00000000-0011-0000-FFFF-FFFF0D000000}">
      <tableStyleElement type="headerRow" dxfId="96"/>
      <tableStyleElement type="firstRowStripe" dxfId="95"/>
      <tableStyleElement type="secondRowStripe" dxfId="94"/>
    </tableStyle>
    <tableStyle name="MODELO LISTA DE COMPROBACION 5-style 3" pivot="0" count="3" xr9:uid="{00000000-0011-0000-FFFF-FFFF0E000000}">
      <tableStyleElement type="headerRow" dxfId="93"/>
      <tableStyleElement type="firstRowStripe" dxfId="92"/>
      <tableStyleElement type="secondRowStripe" dxfId="91"/>
    </tableStyle>
    <tableStyle name="MODELO LISTA DE COMPROBACION 6-style" pivot="0" count="3" xr9:uid="{00000000-0011-0000-FFFF-FFFF0F000000}">
      <tableStyleElement type="headerRow" dxfId="90"/>
      <tableStyleElement type="firstRowStripe" dxfId="89"/>
      <tableStyleElement type="secondRowStripe" dxfId="88"/>
    </tableStyle>
    <tableStyle name="MODELO LISTA DE COMPROBACION 6-style 2" pivot="0" count="3" xr9:uid="{00000000-0011-0000-FFFF-FFFF10000000}">
      <tableStyleElement type="headerRow" dxfId="87"/>
      <tableStyleElement type="firstRowStripe" dxfId="86"/>
      <tableStyleElement type="secondRowStripe" dxfId="85"/>
    </tableStyle>
    <tableStyle name="MODELO LISTA DE COMPROBACION 6-style 3" pivot="0" count="3" xr9:uid="{00000000-0011-0000-FFFF-FFFF11000000}">
      <tableStyleElement type="headerRow" dxfId="84"/>
      <tableStyleElement type="firstRowStripe" dxfId="83"/>
      <tableStyleElement type="secondRowStripe" dxfId="82"/>
    </tableStyle>
    <tableStyle name="MODELO LISTA DE COMPROBACION 7-style" pivot="0" count="3" xr9:uid="{00000000-0011-0000-FFFF-FFFF12000000}">
      <tableStyleElement type="headerRow" dxfId="81"/>
      <tableStyleElement type="firstRowStripe" dxfId="80"/>
      <tableStyleElement type="secondRowStripe" dxfId="79"/>
    </tableStyle>
    <tableStyle name="MODELO LISTA DE COMPROBACION 7-style 2" pivot="0" count="3" xr9:uid="{00000000-0011-0000-FFFF-FFFF13000000}">
      <tableStyleElement type="headerRow" dxfId="78"/>
      <tableStyleElement type="firstRowStripe" dxfId="77"/>
      <tableStyleElement type="secondRowStripe" dxfId="76"/>
    </tableStyle>
    <tableStyle name="MODELO LISTA DE COMPROBACION 7-style 3" pivot="0" count="3" xr9:uid="{00000000-0011-0000-FFFF-FFFF14000000}">
      <tableStyleElement type="headerRow" dxfId="75"/>
      <tableStyleElement type="firstRowStripe" dxfId="74"/>
      <tableStyleElement type="secondRowStripe" dxfId="73"/>
    </tableStyle>
    <tableStyle name="MODELO LISTA DE COMPROBACION 8-style" pivot="0" count="3" xr9:uid="{00000000-0011-0000-FFFF-FFFF15000000}">
      <tableStyleElement type="headerRow" dxfId="72"/>
      <tableStyleElement type="firstRowStripe" dxfId="71"/>
      <tableStyleElement type="secondRowStripe" dxfId="70"/>
    </tableStyle>
    <tableStyle name="MODELO LISTA DE COMPROBACION 8-style 2" pivot="0" count="3" xr9:uid="{00000000-0011-0000-FFFF-FFFF16000000}">
      <tableStyleElement type="headerRow" dxfId="69"/>
      <tableStyleElement type="firstRowStripe" dxfId="68"/>
      <tableStyleElement type="secondRowStripe" dxfId="67"/>
    </tableStyle>
    <tableStyle name="MODELO LISTA DE COMPROBACION 8-style 3" pivot="0" count="3" xr9:uid="{00000000-0011-0000-FFFF-FFFF17000000}">
      <tableStyleElement type="headerRow" dxfId="66"/>
      <tableStyleElement type="firstRowStripe" dxfId="65"/>
      <tableStyleElement type="secondRow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5184-4A89-AD05-82867B8678B1}"/>
              </c:ext>
            </c:extLst>
          </c:dPt>
          <c:dPt>
            <c:idx val="1"/>
            <c:bubble3D val="0"/>
            <c:spPr>
              <a:solidFill>
                <a:srgbClr val="C0504D"/>
              </a:solidFill>
            </c:spPr>
            <c:extLst>
              <c:ext xmlns:c16="http://schemas.microsoft.com/office/drawing/2014/chart" uri="{C3380CC4-5D6E-409C-BE32-E72D297353CC}">
                <c16:uniqueId val="{00000003-5184-4A89-AD05-82867B8678B1}"/>
              </c:ext>
            </c:extLst>
          </c:dPt>
          <c:dPt>
            <c:idx val="2"/>
            <c:bubble3D val="0"/>
            <c:spPr>
              <a:solidFill>
                <a:srgbClr val="9BBB59"/>
              </a:solidFill>
            </c:spPr>
            <c:extLst>
              <c:ext xmlns:c16="http://schemas.microsoft.com/office/drawing/2014/chart" uri="{C3380CC4-5D6E-409C-BE32-E72D297353CC}">
                <c16:uniqueId val="{00000005-5184-4A89-AD05-82867B8678B1}"/>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1'!$B$41:$B$43</c:f>
              <c:strCache>
                <c:ptCount val="3"/>
                <c:pt idx="0">
                  <c:v>CONTENIDO </c:v>
                </c:pt>
                <c:pt idx="1">
                  <c:v>DOCUMENTACIÓN</c:v>
                </c:pt>
                <c:pt idx="2">
                  <c:v>NIVEL DE ACUERDO</c:v>
                </c:pt>
              </c:strCache>
            </c:strRef>
          </c:cat>
          <c:val>
            <c:numRef>
              <c:f>'MODELO LISTA DE COMPROBACION 1'!$C$41:$C$43</c:f>
              <c:numCache>
                <c:formatCode>General</c:formatCode>
                <c:ptCount val="3"/>
                <c:pt idx="0">
                  <c:v>89</c:v>
                </c:pt>
                <c:pt idx="1">
                  <c:v>100</c:v>
                </c:pt>
                <c:pt idx="2">
                  <c:v>100</c:v>
                </c:pt>
              </c:numCache>
            </c:numRef>
          </c:val>
          <c:extLst>
            <c:ext xmlns:c16="http://schemas.microsoft.com/office/drawing/2014/chart" uri="{C3380CC4-5D6E-409C-BE32-E72D297353CC}">
              <c16:uniqueId val="{00000006-5184-4A89-AD05-82867B8678B1}"/>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'MODELO LISTA DE COMPROBACION 2'!$C$40</c:f>
              <c:strCache>
                <c:ptCount val="1"/>
              </c:strCache>
            </c:strRef>
          </c:tx>
          <c:dPt>
            <c:idx val="0"/>
            <c:bubble3D val="0"/>
            <c:spPr>
              <a:solidFill>
                <a:srgbClr val="4F81BD"/>
              </a:solidFill>
            </c:spPr>
            <c:extLst>
              <c:ext xmlns:c16="http://schemas.microsoft.com/office/drawing/2014/chart" uri="{C3380CC4-5D6E-409C-BE32-E72D297353CC}">
                <c16:uniqueId val="{00000001-D0D2-4C84-926D-63BC4781F5DD}"/>
              </c:ext>
            </c:extLst>
          </c:dPt>
          <c:dPt>
            <c:idx val="1"/>
            <c:bubble3D val="0"/>
            <c:spPr>
              <a:solidFill>
                <a:srgbClr val="C0504D"/>
              </a:solidFill>
            </c:spPr>
            <c:extLst>
              <c:ext xmlns:c16="http://schemas.microsoft.com/office/drawing/2014/chart" uri="{C3380CC4-5D6E-409C-BE32-E72D297353CC}">
                <c16:uniqueId val="{00000003-D0D2-4C84-926D-63BC4781F5DD}"/>
              </c:ext>
            </c:extLst>
          </c:dPt>
          <c:dPt>
            <c:idx val="2"/>
            <c:bubble3D val="0"/>
            <c:spPr>
              <a:solidFill>
                <a:srgbClr val="9BBB59"/>
              </a:solidFill>
            </c:spPr>
            <c:extLst>
              <c:ext xmlns:c16="http://schemas.microsoft.com/office/drawing/2014/chart" uri="{C3380CC4-5D6E-409C-BE32-E72D297353CC}">
                <c16:uniqueId val="{00000005-D0D2-4C84-926D-63BC4781F5D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2'!$B$41:$B$43</c:f>
              <c:strCache>
                <c:ptCount val="3"/>
                <c:pt idx="0">
                  <c:v>CONTENIDO </c:v>
                </c:pt>
                <c:pt idx="1">
                  <c:v>DOCUMENTACIÓN</c:v>
                </c:pt>
                <c:pt idx="2">
                  <c:v>NIVEL DE ACUERDO</c:v>
                </c:pt>
              </c:strCache>
            </c:strRef>
          </c:cat>
          <c:val>
            <c:numRef>
              <c:f>'MODELO LISTA DE COMPROBACION 2'!$C$41:$C$43</c:f>
              <c:numCache>
                <c:formatCode>General</c:formatCode>
                <c:ptCount val="3"/>
                <c:pt idx="0">
                  <c:v>100</c:v>
                </c:pt>
                <c:pt idx="1">
                  <c:v>80</c:v>
                </c:pt>
                <c:pt idx="2">
                  <c:v>100</c:v>
                </c:pt>
              </c:numCache>
            </c:numRef>
          </c:val>
          <c:extLst>
            <c:ext xmlns:c16="http://schemas.microsoft.com/office/drawing/2014/chart" uri="{C3380CC4-5D6E-409C-BE32-E72D297353CC}">
              <c16:uniqueId val="{00000006-D0D2-4C84-926D-63BC4781F5DD}"/>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C861-41AA-A72F-CA63D3B57829}"/>
              </c:ext>
            </c:extLst>
          </c:dPt>
          <c:dPt>
            <c:idx val="1"/>
            <c:bubble3D val="0"/>
            <c:spPr>
              <a:solidFill>
                <a:srgbClr val="C0504D"/>
              </a:solidFill>
            </c:spPr>
            <c:extLst>
              <c:ext xmlns:c16="http://schemas.microsoft.com/office/drawing/2014/chart" uri="{C3380CC4-5D6E-409C-BE32-E72D297353CC}">
                <c16:uniqueId val="{00000003-C861-41AA-A72F-CA63D3B57829}"/>
              </c:ext>
            </c:extLst>
          </c:dPt>
          <c:dPt>
            <c:idx val="2"/>
            <c:bubble3D val="0"/>
            <c:spPr>
              <a:solidFill>
                <a:srgbClr val="9BBB59"/>
              </a:solidFill>
            </c:spPr>
            <c:extLst>
              <c:ext xmlns:c16="http://schemas.microsoft.com/office/drawing/2014/chart" uri="{C3380CC4-5D6E-409C-BE32-E72D297353CC}">
                <c16:uniqueId val="{00000005-C861-41AA-A72F-CA63D3B57829}"/>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3'!$B$41:$B$43</c:f>
              <c:strCache>
                <c:ptCount val="3"/>
                <c:pt idx="0">
                  <c:v>CONTENIDO </c:v>
                </c:pt>
                <c:pt idx="1">
                  <c:v>DOCUMENTACIÓN</c:v>
                </c:pt>
                <c:pt idx="2">
                  <c:v>NIVEL DE ACUERDO</c:v>
                </c:pt>
              </c:strCache>
            </c:strRef>
          </c:cat>
          <c:val>
            <c:numRef>
              <c:f>'MODELO LISTA DE COMPROBACION 3'!$C$41:$C$43</c:f>
              <c:numCache>
                <c:formatCode>General</c:formatCode>
                <c:ptCount val="3"/>
                <c:pt idx="0">
                  <c:v>78</c:v>
                </c:pt>
                <c:pt idx="1">
                  <c:v>80</c:v>
                </c:pt>
                <c:pt idx="2">
                  <c:v>100</c:v>
                </c:pt>
              </c:numCache>
            </c:numRef>
          </c:val>
          <c:extLst>
            <c:ext xmlns:c16="http://schemas.microsoft.com/office/drawing/2014/chart" uri="{C3380CC4-5D6E-409C-BE32-E72D297353CC}">
              <c16:uniqueId val="{00000006-C861-41AA-A72F-CA63D3B57829}"/>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E51A-4C6A-B776-8439F9A28ADC}"/>
              </c:ext>
            </c:extLst>
          </c:dPt>
          <c:dPt>
            <c:idx val="1"/>
            <c:bubble3D val="0"/>
            <c:spPr>
              <a:solidFill>
                <a:srgbClr val="C0504D"/>
              </a:solidFill>
            </c:spPr>
            <c:extLst>
              <c:ext xmlns:c16="http://schemas.microsoft.com/office/drawing/2014/chart" uri="{C3380CC4-5D6E-409C-BE32-E72D297353CC}">
                <c16:uniqueId val="{00000003-E51A-4C6A-B776-8439F9A28ADC}"/>
              </c:ext>
            </c:extLst>
          </c:dPt>
          <c:dPt>
            <c:idx val="2"/>
            <c:bubble3D val="0"/>
            <c:spPr>
              <a:solidFill>
                <a:srgbClr val="9BBB59"/>
              </a:solidFill>
            </c:spPr>
            <c:extLst>
              <c:ext xmlns:c16="http://schemas.microsoft.com/office/drawing/2014/chart" uri="{C3380CC4-5D6E-409C-BE32-E72D297353CC}">
                <c16:uniqueId val="{00000005-E51A-4C6A-B776-8439F9A28AD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4'!$B$41:$B$43</c:f>
              <c:strCache>
                <c:ptCount val="3"/>
                <c:pt idx="0">
                  <c:v>CONTENIDO </c:v>
                </c:pt>
                <c:pt idx="1">
                  <c:v>DOCUMENTACIÓN</c:v>
                </c:pt>
                <c:pt idx="2">
                  <c:v>NIVEL DE ACUERDO</c:v>
                </c:pt>
              </c:strCache>
            </c:strRef>
          </c:cat>
          <c:val>
            <c:numRef>
              <c:f>'MODELO LISTA DE COMPROBACION 4'!$C$41:$C$43</c:f>
              <c:numCache>
                <c:formatCode>General</c:formatCode>
                <c:ptCount val="3"/>
                <c:pt idx="0">
                  <c:v>78</c:v>
                </c:pt>
                <c:pt idx="1">
                  <c:v>80</c:v>
                </c:pt>
                <c:pt idx="2">
                  <c:v>100</c:v>
                </c:pt>
              </c:numCache>
            </c:numRef>
          </c:val>
          <c:extLst>
            <c:ext xmlns:c16="http://schemas.microsoft.com/office/drawing/2014/chart" uri="{C3380CC4-5D6E-409C-BE32-E72D297353CC}">
              <c16:uniqueId val="{00000006-E51A-4C6A-B776-8439F9A28ADC}"/>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F00E-4B51-8C93-8883EA4ED00C}"/>
              </c:ext>
            </c:extLst>
          </c:dPt>
          <c:dPt>
            <c:idx val="1"/>
            <c:bubble3D val="0"/>
            <c:spPr>
              <a:solidFill>
                <a:srgbClr val="C0504D"/>
              </a:solidFill>
            </c:spPr>
            <c:extLst>
              <c:ext xmlns:c16="http://schemas.microsoft.com/office/drawing/2014/chart" uri="{C3380CC4-5D6E-409C-BE32-E72D297353CC}">
                <c16:uniqueId val="{00000003-F00E-4B51-8C93-8883EA4ED00C}"/>
              </c:ext>
            </c:extLst>
          </c:dPt>
          <c:dPt>
            <c:idx val="2"/>
            <c:bubble3D val="0"/>
            <c:spPr>
              <a:solidFill>
                <a:srgbClr val="9BBB59"/>
              </a:solidFill>
            </c:spPr>
            <c:extLst>
              <c:ext xmlns:c16="http://schemas.microsoft.com/office/drawing/2014/chart" uri="{C3380CC4-5D6E-409C-BE32-E72D297353CC}">
                <c16:uniqueId val="{00000005-F00E-4B51-8C93-8883EA4ED00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5'!$B$41:$B$43</c:f>
              <c:strCache>
                <c:ptCount val="3"/>
                <c:pt idx="0">
                  <c:v>CONTENIDO </c:v>
                </c:pt>
                <c:pt idx="1">
                  <c:v>DOCUMENTACIÓN</c:v>
                </c:pt>
                <c:pt idx="2">
                  <c:v>NIVEL DE ACUERDO</c:v>
                </c:pt>
              </c:strCache>
            </c:strRef>
          </c:cat>
          <c:val>
            <c:numRef>
              <c:f>'MODELO LISTA DE COMPROBACION 5'!$C$41:$C$43</c:f>
              <c:numCache>
                <c:formatCode>General</c:formatCode>
                <c:ptCount val="3"/>
                <c:pt idx="0">
                  <c:v>78</c:v>
                </c:pt>
                <c:pt idx="1">
                  <c:v>80</c:v>
                </c:pt>
                <c:pt idx="2">
                  <c:v>67</c:v>
                </c:pt>
              </c:numCache>
            </c:numRef>
          </c:val>
          <c:extLst>
            <c:ext xmlns:c16="http://schemas.microsoft.com/office/drawing/2014/chart" uri="{C3380CC4-5D6E-409C-BE32-E72D297353CC}">
              <c16:uniqueId val="{00000006-F00E-4B51-8C93-8883EA4ED00C}"/>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EA8D-427B-B009-ACC9DDE16228}"/>
              </c:ext>
            </c:extLst>
          </c:dPt>
          <c:dPt>
            <c:idx val="1"/>
            <c:bubble3D val="0"/>
            <c:spPr>
              <a:solidFill>
                <a:srgbClr val="C0504D"/>
              </a:solidFill>
            </c:spPr>
            <c:extLst>
              <c:ext xmlns:c16="http://schemas.microsoft.com/office/drawing/2014/chart" uri="{C3380CC4-5D6E-409C-BE32-E72D297353CC}">
                <c16:uniqueId val="{00000003-EA8D-427B-B009-ACC9DDE16228}"/>
              </c:ext>
            </c:extLst>
          </c:dPt>
          <c:dPt>
            <c:idx val="2"/>
            <c:bubble3D val="0"/>
            <c:spPr>
              <a:solidFill>
                <a:srgbClr val="9BBB59"/>
              </a:solidFill>
            </c:spPr>
            <c:extLst>
              <c:ext xmlns:c16="http://schemas.microsoft.com/office/drawing/2014/chart" uri="{C3380CC4-5D6E-409C-BE32-E72D297353CC}">
                <c16:uniqueId val="{00000005-EA8D-427B-B009-ACC9DDE16228}"/>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6'!$B$41:$B$43</c:f>
              <c:strCache>
                <c:ptCount val="3"/>
                <c:pt idx="0">
                  <c:v>CONTENIDO </c:v>
                </c:pt>
                <c:pt idx="1">
                  <c:v>DOCUMENTACIÓN</c:v>
                </c:pt>
                <c:pt idx="2">
                  <c:v>NIVEL DE ACUERDO</c:v>
                </c:pt>
              </c:strCache>
            </c:strRef>
          </c:cat>
          <c:val>
            <c:numRef>
              <c:f>'MODELO LISTA DE COMPROBACION 6'!$C$41:$C$43</c:f>
              <c:numCache>
                <c:formatCode>General</c:formatCode>
                <c:ptCount val="3"/>
                <c:pt idx="0">
                  <c:v>78</c:v>
                </c:pt>
                <c:pt idx="1">
                  <c:v>80</c:v>
                </c:pt>
                <c:pt idx="2">
                  <c:v>67</c:v>
                </c:pt>
              </c:numCache>
            </c:numRef>
          </c:val>
          <c:extLst>
            <c:ext xmlns:c16="http://schemas.microsoft.com/office/drawing/2014/chart" uri="{C3380CC4-5D6E-409C-BE32-E72D297353CC}">
              <c16:uniqueId val="{00000006-EA8D-427B-B009-ACC9DDE16228}"/>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6270-4734-A66D-248747F376BD}"/>
              </c:ext>
            </c:extLst>
          </c:dPt>
          <c:dPt>
            <c:idx val="1"/>
            <c:bubble3D val="0"/>
            <c:spPr>
              <a:solidFill>
                <a:srgbClr val="C0504D"/>
              </a:solidFill>
            </c:spPr>
            <c:extLst>
              <c:ext xmlns:c16="http://schemas.microsoft.com/office/drawing/2014/chart" uri="{C3380CC4-5D6E-409C-BE32-E72D297353CC}">
                <c16:uniqueId val="{00000003-6270-4734-A66D-248747F376BD}"/>
              </c:ext>
            </c:extLst>
          </c:dPt>
          <c:dPt>
            <c:idx val="2"/>
            <c:bubble3D val="0"/>
            <c:spPr>
              <a:solidFill>
                <a:srgbClr val="9BBB59"/>
              </a:solidFill>
            </c:spPr>
            <c:extLst>
              <c:ext xmlns:c16="http://schemas.microsoft.com/office/drawing/2014/chart" uri="{C3380CC4-5D6E-409C-BE32-E72D297353CC}">
                <c16:uniqueId val="{00000005-6270-4734-A66D-248747F376B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7'!$B$41:$B$43</c:f>
              <c:strCache>
                <c:ptCount val="3"/>
                <c:pt idx="0">
                  <c:v>CONTENIDO </c:v>
                </c:pt>
                <c:pt idx="1">
                  <c:v>DOCUMENTACIÓN</c:v>
                </c:pt>
                <c:pt idx="2">
                  <c:v>NIVEL DE ACUERDO</c:v>
                </c:pt>
              </c:strCache>
            </c:strRef>
          </c:cat>
          <c:val>
            <c:numRef>
              <c:f>'MODELO LISTA DE COMPROBACION 7'!$C$41:$C$43</c:f>
              <c:numCache>
                <c:formatCode>General</c:formatCode>
                <c:ptCount val="3"/>
                <c:pt idx="0">
                  <c:v>78</c:v>
                </c:pt>
                <c:pt idx="1">
                  <c:v>80</c:v>
                </c:pt>
                <c:pt idx="2">
                  <c:v>67</c:v>
                </c:pt>
              </c:numCache>
            </c:numRef>
          </c:val>
          <c:extLst>
            <c:ext xmlns:c16="http://schemas.microsoft.com/office/drawing/2014/chart" uri="{C3380CC4-5D6E-409C-BE32-E72D297353CC}">
              <c16:uniqueId val="{00000006-6270-4734-A66D-248747F376BD}"/>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E986-4C88-9F15-A84F127583D9}"/>
              </c:ext>
            </c:extLst>
          </c:dPt>
          <c:dPt>
            <c:idx val="1"/>
            <c:bubble3D val="0"/>
            <c:spPr>
              <a:solidFill>
                <a:srgbClr val="C0504D"/>
              </a:solidFill>
            </c:spPr>
            <c:extLst>
              <c:ext xmlns:c16="http://schemas.microsoft.com/office/drawing/2014/chart" uri="{C3380CC4-5D6E-409C-BE32-E72D297353CC}">
                <c16:uniqueId val="{00000003-E986-4C88-9F15-A84F127583D9}"/>
              </c:ext>
            </c:extLst>
          </c:dPt>
          <c:dPt>
            <c:idx val="2"/>
            <c:bubble3D val="0"/>
            <c:spPr>
              <a:solidFill>
                <a:srgbClr val="9BBB59"/>
              </a:solidFill>
            </c:spPr>
            <c:extLst>
              <c:ext xmlns:c16="http://schemas.microsoft.com/office/drawing/2014/chart" uri="{C3380CC4-5D6E-409C-BE32-E72D297353CC}">
                <c16:uniqueId val="{00000005-E986-4C88-9F15-A84F127583D9}"/>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8'!$B$41:$B$43</c:f>
              <c:strCache>
                <c:ptCount val="3"/>
                <c:pt idx="0">
                  <c:v>CONTENIDO </c:v>
                </c:pt>
                <c:pt idx="1">
                  <c:v>DOCUMENTACIÓN</c:v>
                </c:pt>
                <c:pt idx="2">
                  <c:v>NIVEL DE ACUERDO</c:v>
                </c:pt>
              </c:strCache>
            </c:strRef>
          </c:cat>
          <c:val>
            <c:numRef>
              <c:f>'MODELO LISTA DE COMPROBACION 8'!$C$41:$C$43</c:f>
              <c:numCache>
                <c:formatCode>General</c:formatCode>
                <c:ptCount val="3"/>
                <c:pt idx="0">
                  <c:v>56</c:v>
                </c:pt>
                <c:pt idx="1">
                  <c:v>80</c:v>
                </c:pt>
                <c:pt idx="2">
                  <c:v>67</c:v>
                </c:pt>
              </c:numCache>
            </c:numRef>
          </c:val>
          <c:extLst>
            <c:ext xmlns:c16="http://schemas.microsoft.com/office/drawing/2014/chart" uri="{C3380CC4-5D6E-409C-BE32-E72D297353CC}">
              <c16:uniqueId val="{00000006-E986-4C88-9F15-A84F127583D9}"/>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295275</xdr:colOff>
      <xdr:row>43</xdr:row>
      <xdr:rowOff>133350</xdr:rowOff>
    </xdr:from>
    <xdr:ext cx="4286250" cy="2143125"/>
    <xdr:graphicFrame macro="">
      <xdr:nvGraphicFramePr>
        <xdr:cNvPr id="2" name="Chart 1" title="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295275</xdr:colOff>
      <xdr:row>43</xdr:row>
      <xdr:rowOff>133350</xdr:rowOff>
    </xdr:from>
    <xdr:ext cx="4286250" cy="2143125"/>
    <xdr:graphicFrame macro="">
      <xdr:nvGraphicFramePr>
        <xdr:cNvPr id="2" name="Chart 2" title="Gráfico">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295275</xdr:colOff>
      <xdr:row>43</xdr:row>
      <xdr:rowOff>133350</xdr:rowOff>
    </xdr:from>
    <xdr:ext cx="4286250" cy="2143125"/>
    <xdr:graphicFrame macro="">
      <xdr:nvGraphicFramePr>
        <xdr:cNvPr id="3" name="Chart 3" title="Gráfic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295275</xdr:colOff>
      <xdr:row>43</xdr:row>
      <xdr:rowOff>133350</xdr:rowOff>
    </xdr:from>
    <xdr:ext cx="4286250" cy="2143125"/>
    <xdr:graphicFrame macro="">
      <xdr:nvGraphicFramePr>
        <xdr:cNvPr id="4" name="Chart 4" title="Gráfico">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545647</xdr:colOff>
      <xdr:row>43</xdr:row>
      <xdr:rowOff>155121</xdr:rowOff>
    </xdr:from>
    <xdr:ext cx="4286250" cy="2143125"/>
    <xdr:graphicFrame macro="">
      <xdr:nvGraphicFramePr>
        <xdr:cNvPr id="5" name="Chart 5" title="Gráfico">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41275</xdr:colOff>
      <xdr:row>44</xdr:row>
      <xdr:rowOff>120650</xdr:rowOff>
    </xdr:from>
    <xdr:ext cx="4286250" cy="2143125"/>
    <xdr:graphicFrame macro="">
      <xdr:nvGraphicFramePr>
        <xdr:cNvPr id="6" name="Chart 6" title="Gráfico">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676275</xdr:colOff>
      <xdr:row>45</xdr:row>
      <xdr:rowOff>41910</xdr:rowOff>
    </xdr:from>
    <xdr:ext cx="4286250" cy="2143125"/>
    <xdr:graphicFrame macro="">
      <xdr:nvGraphicFramePr>
        <xdr:cNvPr id="7" name="Chart 7" title="Gráfico">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1361</xdr:colOff>
      <xdr:row>45</xdr:row>
      <xdr:rowOff>2722</xdr:rowOff>
    </xdr:from>
    <xdr:ext cx="4286250" cy="2143125"/>
    <xdr:graphicFrame macro="">
      <xdr:nvGraphicFramePr>
        <xdr:cNvPr id="8" name="Chart 8" title="Gráfico">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MODELO LISTA DE COMPROBACION 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MODELO LISTA DE COMPROBACION 2-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MODELO LISTA DE COMPROBACION 2-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MODELO LISTA DE COMPROBACION 3-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MODELO LISTA DE COMPROBACION 3-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MODELO LISTA DE COMPROBACION 3-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7:D16">
  <tableColumns count="4">
    <tableColumn id="1" xr3:uid="{00000000-0010-0000-0900-000001000000}" name="No."/>
    <tableColumn id="2" xr3:uid="{00000000-0010-0000-0900-000002000000}" name="Pregunta"/>
    <tableColumn id="3" xr3:uid="{00000000-0010-0000-0900-000003000000}" name="SI"/>
    <tableColumn id="4" xr3:uid="{00000000-0010-0000-0900-000004000000}" name="NO "/>
  </tableColumns>
  <tableStyleInfo name="MODELO LISTA DE COMPROBACION 4-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21:D26">
  <tableColumns count="4">
    <tableColumn id="1" xr3:uid="{00000000-0010-0000-0A00-000001000000}" name="No."/>
    <tableColumn id="2" xr3:uid="{00000000-0010-0000-0A00-000002000000}" name="Pregunta"/>
    <tableColumn id="3" xr3:uid="{00000000-0010-0000-0A00-000003000000}" name="SI"/>
    <tableColumn id="4" xr3:uid="{00000000-0010-0000-0A00-000004000000}" name="NO "/>
  </tableColumns>
  <tableStyleInfo name="MODELO LISTA DE COMPROBACION 4-style 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31:D34">
  <tableColumns count="4">
    <tableColumn id="1" xr3:uid="{00000000-0010-0000-0B00-000001000000}" name="No."/>
    <tableColumn id="2" xr3:uid="{00000000-0010-0000-0B00-000002000000}" name="Pregunta"/>
    <tableColumn id="3" xr3:uid="{00000000-0010-0000-0B00-000003000000}" name="SI"/>
    <tableColumn id="4" xr3:uid="{00000000-0010-0000-0B00-000004000000}" name="NO "/>
  </tableColumns>
  <tableStyleInfo name="MODELO LISTA DE COMPROBACION 4-style 3"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7:D16">
  <tableColumns count="4">
    <tableColumn id="1" xr3:uid="{00000000-0010-0000-0C00-000001000000}" name="No."/>
    <tableColumn id="2" xr3:uid="{00000000-0010-0000-0C00-000002000000}" name="Pregunta"/>
    <tableColumn id="3" xr3:uid="{00000000-0010-0000-0C00-000003000000}" name="SI"/>
    <tableColumn id="4" xr3:uid="{00000000-0010-0000-0C00-000004000000}" name="NO "/>
  </tableColumns>
  <tableStyleInfo name="MODELO LISTA DE COMPROBACION 5-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21:D26">
  <tableColumns count="4">
    <tableColumn id="1" xr3:uid="{00000000-0010-0000-0D00-000001000000}" name="No."/>
    <tableColumn id="2" xr3:uid="{00000000-0010-0000-0D00-000002000000}" name="Pregunta"/>
    <tableColumn id="3" xr3:uid="{00000000-0010-0000-0D00-000003000000}" name="SI"/>
    <tableColumn id="4" xr3:uid="{00000000-0010-0000-0D00-000004000000}" name="NO "/>
  </tableColumns>
  <tableStyleInfo name="MODELO LISTA DE COMPROBACION 5-style 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31:D34">
  <tableColumns count="4">
    <tableColumn id="1" xr3:uid="{00000000-0010-0000-0E00-000001000000}" name="No."/>
    <tableColumn id="2" xr3:uid="{00000000-0010-0000-0E00-000002000000}" name="Pregunta"/>
    <tableColumn id="3" xr3:uid="{00000000-0010-0000-0E00-000003000000}" name="SI"/>
    <tableColumn id="4" xr3:uid="{00000000-0010-0000-0E00-000004000000}" name="NO "/>
  </tableColumns>
  <tableStyleInfo name="MODELO LISTA DE COMPROBACION 5-style 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7:D16">
  <tableColumns count="4">
    <tableColumn id="1" xr3:uid="{00000000-0010-0000-0F00-000001000000}" name="No."/>
    <tableColumn id="2" xr3:uid="{00000000-0010-0000-0F00-000002000000}" name="Pregunta"/>
    <tableColumn id="3" xr3:uid="{00000000-0010-0000-0F00-000003000000}" name="SI"/>
    <tableColumn id="4" xr3:uid="{00000000-0010-0000-0F00-000004000000}" name="NO "/>
  </tableColumns>
  <tableStyleInfo name="MODELO LISTA DE COMPROBACION 6-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21:D26">
  <tableColumns count="4">
    <tableColumn id="1" xr3:uid="{00000000-0010-0000-1000-000001000000}" name="No."/>
    <tableColumn id="2" xr3:uid="{00000000-0010-0000-1000-000002000000}" name="Pregunta"/>
    <tableColumn id="3" xr3:uid="{00000000-0010-0000-1000-000003000000}" name="SI"/>
    <tableColumn id="4" xr3:uid="{00000000-0010-0000-1000-000004000000}" name="NO "/>
  </tableColumns>
  <tableStyleInfo name="MODELO LISTA DE COMPROBACION 6-style 2"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31:D34">
  <tableColumns count="4">
    <tableColumn id="1" xr3:uid="{00000000-0010-0000-1100-000001000000}" name="No."/>
    <tableColumn id="2" xr3:uid="{00000000-0010-0000-1100-000002000000}" name="Pregunta"/>
    <tableColumn id="3" xr3:uid="{00000000-0010-0000-1100-000003000000}" name="SI"/>
    <tableColumn id="4" xr3:uid="{00000000-0010-0000-1100-000004000000}" name="NO "/>
  </tableColumns>
  <tableStyleInfo name="MODELO LISTA DE COMPROBACION 6-style 3"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7:D16">
  <tableColumns count="4">
    <tableColumn id="1" xr3:uid="{00000000-0010-0000-1200-000001000000}" name="No."/>
    <tableColumn id="2" xr3:uid="{00000000-0010-0000-1200-000002000000}" name="Pregunta"/>
    <tableColumn id="3" xr3:uid="{00000000-0010-0000-1200-000003000000}" name="SI"/>
    <tableColumn id="4" xr3:uid="{00000000-0010-0000-1200-000004000000}" name="NO "/>
  </tableColumns>
  <tableStyleInfo name="MODELO LISTA DE COMPROBACION 7-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21:D26">
  <tableColumns count="4">
    <tableColumn id="1" xr3:uid="{00000000-0010-0000-1300-000001000000}" name="No."/>
    <tableColumn id="2" xr3:uid="{00000000-0010-0000-1300-000002000000}" name="Pregunta"/>
    <tableColumn id="3" xr3:uid="{00000000-0010-0000-1300-000003000000}" name="SI"/>
    <tableColumn id="4" xr3:uid="{00000000-0010-0000-1300-000004000000}" name="NO "/>
  </tableColumns>
  <tableStyleInfo name="MODELO LISTA DE COMPROBACION 7-style 2"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A31:D34">
  <tableColumns count="4">
    <tableColumn id="1" xr3:uid="{00000000-0010-0000-1400-000001000000}" name="No."/>
    <tableColumn id="2" xr3:uid="{00000000-0010-0000-1400-000002000000}" name="Pregunta"/>
    <tableColumn id="3" xr3:uid="{00000000-0010-0000-1400-000003000000}" name="SI"/>
    <tableColumn id="4" xr3:uid="{00000000-0010-0000-1400-000004000000}" name="NO "/>
  </tableColumns>
  <tableStyleInfo name="MODELO LISTA DE COMPROBACION 7-style 3"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A7:D16">
  <tableColumns count="4">
    <tableColumn id="1" xr3:uid="{00000000-0010-0000-1500-000001000000}" name="No."/>
    <tableColumn id="2" xr3:uid="{00000000-0010-0000-1500-000002000000}" name="Pregunta"/>
    <tableColumn id="3" xr3:uid="{00000000-0010-0000-1500-000003000000}" name="SI"/>
    <tableColumn id="4" xr3:uid="{00000000-0010-0000-1500-000004000000}" name="NO "/>
  </tableColumns>
  <tableStyleInfo name="MODELO LISTA DE COMPROBACION 8-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A21:D26">
  <tableColumns count="4">
    <tableColumn id="1" xr3:uid="{00000000-0010-0000-1600-000001000000}" name="No."/>
    <tableColumn id="2" xr3:uid="{00000000-0010-0000-1600-000002000000}" name="Pregunta"/>
    <tableColumn id="3" xr3:uid="{00000000-0010-0000-1600-000003000000}" name="SI"/>
    <tableColumn id="4" xr3:uid="{00000000-0010-0000-1600-000004000000}" name="NO "/>
  </tableColumns>
  <tableStyleInfo name="MODELO LISTA DE COMPROBACION 8-style 2"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A31:D34">
  <tableColumns count="4">
    <tableColumn id="1" xr3:uid="{00000000-0010-0000-1700-000001000000}" name="No."/>
    <tableColumn id="2" xr3:uid="{00000000-0010-0000-1700-000002000000}" name="Pregunta"/>
    <tableColumn id="3" xr3:uid="{00000000-0010-0000-1700-000003000000}" name="SI"/>
    <tableColumn id="4" xr3:uid="{00000000-0010-0000-1700-000004000000}" name="NO "/>
  </tableColumns>
  <tableStyleInfo name="MODELO LISTA DE COMPROBACION 8-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4.xml"/><Relationship Id="rId4"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5.xml"/><Relationship Id="rId4"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6.xml"/><Relationship Id="rId4"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7.xml"/><Relationship Id="rId4" Type="http://schemas.openxmlformats.org/officeDocument/2006/relationships/table" Target="../tables/table2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8.xml"/><Relationship Id="rId4"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showGridLines="0" zoomScale="59" zoomScaleNormal="59" workbookViewId="0"/>
  </sheetViews>
  <sheetFormatPr baseColWidth="10" defaultColWidth="14.44140625" defaultRowHeight="15" customHeight="1"/>
  <cols>
    <col min="1" max="1" width="4.5546875" customWidth="1"/>
    <col min="2" max="2" width="4.44140625" customWidth="1"/>
    <col min="3" max="3" width="3.6640625" customWidth="1"/>
    <col min="4" max="4" width="34.6640625" customWidth="1"/>
    <col min="5" max="5" width="9.6640625" customWidth="1"/>
    <col min="6" max="6" width="38.109375" customWidth="1"/>
    <col min="7" max="7" width="9.6640625" customWidth="1"/>
    <col min="8" max="8" width="54" customWidth="1"/>
    <col min="9" max="9" width="10.88671875" customWidth="1"/>
    <col min="10" max="10" width="41.109375" customWidth="1"/>
    <col min="11" max="11" width="10.5546875" customWidth="1"/>
    <col min="12" max="12" width="45.5546875" customWidth="1"/>
    <col min="13" max="13" width="12.5546875" customWidth="1"/>
    <col min="14" max="14" width="42.6640625" customWidth="1"/>
  </cols>
  <sheetData>
    <row r="1" spans="1:14" ht="14.25" customHeight="1">
      <c r="C1" s="1"/>
    </row>
    <row r="2" spans="1:14" ht="14.25" customHeight="1">
      <c r="C2" s="1"/>
    </row>
    <row r="3" spans="1:14" ht="30" customHeight="1">
      <c r="B3" s="61" t="s">
        <v>0</v>
      </c>
      <c r="C3" s="62"/>
      <c r="D3" s="62"/>
      <c r="E3" s="62"/>
      <c r="F3" s="62"/>
      <c r="G3" s="62"/>
      <c r="H3" s="62"/>
      <c r="I3" s="62"/>
      <c r="J3" s="62"/>
      <c r="K3" s="62"/>
      <c r="L3" s="62"/>
      <c r="M3" s="62"/>
      <c r="N3" s="63"/>
    </row>
    <row r="4" spans="1:14" ht="30" customHeight="1">
      <c r="B4" s="64"/>
      <c r="C4" s="65"/>
      <c r="D4" s="65"/>
      <c r="E4" s="65"/>
      <c r="F4" s="65"/>
      <c r="G4" s="65"/>
      <c r="H4" s="65"/>
      <c r="I4" s="65"/>
      <c r="J4" s="65"/>
      <c r="K4" s="65"/>
      <c r="L4" s="65"/>
      <c r="M4" s="65"/>
      <c r="N4" s="66"/>
    </row>
    <row r="5" spans="1:14" ht="51" customHeight="1">
      <c r="B5" s="67" t="s">
        <v>1</v>
      </c>
      <c r="C5" s="68"/>
      <c r="D5" s="68"/>
      <c r="E5" s="69" t="s">
        <v>2</v>
      </c>
      <c r="F5" s="62"/>
      <c r="G5" s="62"/>
      <c r="H5" s="62"/>
      <c r="I5" s="62"/>
      <c r="J5" s="62"/>
      <c r="K5" s="62"/>
      <c r="L5" s="62"/>
      <c r="M5" s="62"/>
      <c r="N5" s="63"/>
    </row>
    <row r="6" spans="1:14" ht="55.5" customHeight="1">
      <c r="B6" s="70" t="s">
        <v>3</v>
      </c>
      <c r="C6" s="71"/>
      <c r="D6" s="71"/>
      <c r="E6" s="71"/>
      <c r="F6" s="71"/>
      <c r="G6" s="71"/>
      <c r="H6" s="71"/>
      <c r="I6" s="71"/>
      <c r="J6" s="71"/>
      <c r="K6" s="71"/>
      <c r="L6" s="71"/>
      <c r="M6" s="71"/>
      <c r="N6" s="72"/>
    </row>
    <row r="7" spans="1:14" ht="14.4">
      <c r="B7" s="73" t="s">
        <v>4</v>
      </c>
      <c r="C7" s="74" t="s">
        <v>5</v>
      </c>
      <c r="D7" s="75"/>
      <c r="E7" s="76" t="s">
        <v>6</v>
      </c>
      <c r="F7" s="58" t="s">
        <v>7</v>
      </c>
      <c r="G7" s="60" t="s">
        <v>6</v>
      </c>
      <c r="H7" s="58" t="s">
        <v>8</v>
      </c>
      <c r="I7" s="60" t="s">
        <v>6</v>
      </c>
      <c r="J7" s="58" t="s">
        <v>9</v>
      </c>
      <c r="K7" s="60" t="s">
        <v>6</v>
      </c>
      <c r="L7" s="58" t="s">
        <v>10</v>
      </c>
      <c r="M7" s="60" t="s">
        <v>6</v>
      </c>
      <c r="N7" s="58" t="s">
        <v>11</v>
      </c>
    </row>
    <row r="8" spans="1:14" ht="60" customHeight="1">
      <c r="B8" s="59"/>
      <c r="C8" s="64"/>
      <c r="D8" s="66"/>
      <c r="E8" s="77"/>
      <c r="F8" s="59"/>
      <c r="G8" s="59"/>
      <c r="H8" s="59"/>
      <c r="I8" s="59"/>
      <c r="J8" s="59"/>
      <c r="K8" s="59"/>
      <c r="L8" s="59"/>
      <c r="M8" s="59"/>
      <c r="N8" s="59"/>
    </row>
    <row r="9" spans="1:14" ht="60" customHeight="1">
      <c r="A9" s="2"/>
      <c r="B9" s="3"/>
      <c r="C9" s="3"/>
      <c r="D9" s="4"/>
      <c r="E9" s="5"/>
      <c r="F9" s="6"/>
      <c r="G9" s="7"/>
      <c r="H9" s="6"/>
      <c r="I9" s="7"/>
      <c r="J9" s="6"/>
      <c r="K9" s="7"/>
      <c r="L9" s="6"/>
      <c r="M9" s="7"/>
      <c r="N9" s="6"/>
    </row>
    <row r="10" spans="1:14" ht="87" customHeight="1">
      <c r="B10" s="8">
        <v>1</v>
      </c>
      <c r="C10" s="79" t="s">
        <v>12</v>
      </c>
      <c r="D10" s="72"/>
      <c r="E10" s="10" t="s">
        <v>13</v>
      </c>
      <c r="F10" s="11" t="s">
        <v>14</v>
      </c>
      <c r="G10" s="12" t="s">
        <v>13</v>
      </c>
      <c r="H10" s="13" t="s">
        <v>15</v>
      </c>
      <c r="I10" s="12" t="s">
        <v>13</v>
      </c>
      <c r="J10" s="13" t="s">
        <v>15</v>
      </c>
      <c r="K10" s="12" t="s">
        <v>13</v>
      </c>
      <c r="L10" s="13" t="s">
        <v>15</v>
      </c>
      <c r="M10" s="12" t="s">
        <v>13</v>
      </c>
      <c r="N10" s="13" t="s">
        <v>15</v>
      </c>
    </row>
    <row r="11" spans="1:14" ht="84.75" customHeight="1">
      <c r="B11" s="8">
        <v>2</v>
      </c>
      <c r="C11" s="79" t="s">
        <v>16</v>
      </c>
      <c r="D11" s="72"/>
      <c r="E11" s="10" t="s">
        <v>13</v>
      </c>
      <c r="F11" s="11" t="s">
        <v>17</v>
      </c>
      <c r="G11" s="12" t="s">
        <v>13</v>
      </c>
      <c r="H11" s="11" t="s">
        <v>18</v>
      </c>
      <c r="I11" s="12" t="s">
        <v>13</v>
      </c>
      <c r="J11" s="11" t="s">
        <v>19</v>
      </c>
      <c r="K11" s="12" t="s">
        <v>13</v>
      </c>
      <c r="L11" s="11" t="s">
        <v>20</v>
      </c>
      <c r="M11" s="12" t="s">
        <v>13</v>
      </c>
      <c r="N11" s="11" t="s">
        <v>21</v>
      </c>
    </row>
    <row r="12" spans="1:14" ht="127.5" customHeight="1">
      <c r="B12" s="8">
        <v>3</v>
      </c>
      <c r="C12" s="79" t="s">
        <v>22</v>
      </c>
      <c r="D12" s="72"/>
      <c r="E12" s="10" t="s">
        <v>13</v>
      </c>
      <c r="F12" s="11" t="s">
        <v>23</v>
      </c>
      <c r="G12" s="12" t="s">
        <v>13</v>
      </c>
      <c r="H12" s="11" t="s">
        <v>24</v>
      </c>
      <c r="I12" s="14" t="s">
        <v>25</v>
      </c>
      <c r="J12" s="11" t="s">
        <v>26</v>
      </c>
      <c r="K12" s="14" t="s">
        <v>25</v>
      </c>
      <c r="L12" s="11" t="s">
        <v>27</v>
      </c>
      <c r="M12" s="14" t="s">
        <v>25</v>
      </c>
      <c r="N12" s="11" t="s">
        <v>28</v>
      </c>
    </row>
    <row r="13" spans="1:14" ht="107.25" customHeight="1">
      <c r="B13" s="8">
        <v>4</v>
      </c>
      <c r="C13" s="79" t="s">
        <v>29</v>
      </c>
      <c r="D13" s="72"/>
      <c r="E13" s="10" t="s">
        <v>13</v>
      </c>
      <c r="F13" s="11" t="s">
        <v>30</v>
      </c>
      <c r="G13" s="12" t="s">
        <v>13</v>
      </c>
      <c r="H13" s="11" t="s">
        <v>31</v>
      </c>
      <c r="I13" s="12" t="s">
        <v>13</v>
      </c>
      <c r="J13" s="11" t="s">
        <v>32</v>
      </c>
      <c r="K13" s="12" t="s">
        <v>13</v>
      </c>
      <c r="L13" s="11" t="s">
        <v>33</v>
      </c>
      <c r="M13" s="12" t="s">
        <v>13</v>
      </c>
      <c r="N13" s="11" t="s">
        <v>34</v>
      </c>
    </row>
    <row r="14" spans="1:14" ht="141" customHeight="1">
      <c r="B14" s="8">
        <v>5</v>
      </c>
      <c r="C14" s="79" t="s">
        <v>35</v>
      </c>
      <c r="D14" s="72"/>
      <c r="E14" s="10" t="s">
        <v>13</v>
      </c>
      <c r="F14" s="11" t="s">
        <v>36</v>
      </c>
      <c r="G14" s="12" t="s">
        <v>13</v>
      </c>
      <c r="H14" s="11" t="s">
        <v>37</v>
      </c>
      <c r="I14" s="12" t="s">
        <v>13</v>
      </c>
      <c r="J14" s="11" t="s">
        <v>38</v>
      </c>
      <c r="K14" s="12" t="s">
        <v>13</v>
      </c>
      <c r="L14" s="11" t="s">
        <v>39</v>
      </c>
      <c r="M14" s="14" t="s">
        <v>25</v>
      </c>
      <c r="N14" s="11" t="s">
        <v>40</v>
      </c>
    </row>
    <row r="15" spans="1:14" ht="124.8">
      <c r="B15" s="8">
        <v>6</v>
      </c>
      <c r="C15" s="78" t="s">
        <v>41</v>
      </c>
      <c r="D15" s="72"/>
      <c r="E15" s="10" t="s">
        <v>13</v>
      </c>
      <c r="F15" s="11" t="s">
        <v>42</v>
      </c>
      <c r="G15" s="12" t="s">
        <v>13</v>
      </c>
      <c r="H15" s="11" t="s">
        <v>43</v>
      </c>
      <c r="I15" s="12" t="s">
        <v>13</v>
      </c>
      <c r="J15" s="11" t="s">
        <v>44</v>
      </c>
      <c r="K15" s="12" t="s">
        <v>13</v>
      </c>
      <c r="L15" s="11" t="s">
        <v>45</v>
      </c>
      <c r="M15" s="14" t="s">
        <v>25</v>
      </c>
      <c r="N15" s="11" t="s">
        <v>46</v>
      </c>
    </row>
    <row r="16" spans="1:14" ht="93" customHeight="1">
      <c r="B16" s="8">
        <v>7</v>
      </c>
      <c r="C16" s="79" t="s">
        <v>47</v>
      </c>
      <c r="D16" s="72"/>
      <c r="E16" s="10" t="s">
        <v>13</v>
      </c>
      <c r="F16" s="11" t="s">
        <v>48</v>
      </c>
      <c r="G16" s="12" t="s">
        <v>13</v>
      </c>
      <c r="H16" s="11" t="s">
        <v>49</v>
      </c>
      <c r="I16" s="12" t="s">
        <v>13</v>
      </c>
      <c r="J16" s="11" t="s">
        <v>50</v>
      </c>
      <c r="K16" s="12" t="s">
        <v>13</v>
      </c>
      <c r="L16" s="11" t="s">
        <v>51</v>
      </c>
      <c r="M16" s="12" t="s">
        <v>13</v>
      </c>
      <c r="N16" s="11" t="s">
        <v>52</v>
      </c>
    </row>
    <row r="17" spans="2:14" ht="87" customHeight="1">
      <c r="B17" s="8">
        <v>8</v>
      </c>
      <c r="C17" s="79" t="s">
        <v>53</v>
      </c>
      <c r="D17" s="72"/>
      <c r="E17" s="10" t="s">
        <v>13</v>
      </c>
      <c r="F17" s="11" t="s">
        <v>54</v>
      </c>
      <c r="G17" s="12" t="s">
        <v>13</v>
      </c>
      <c r="H17" s="11" t="s">
        <v>55</v>
      </c>
      <c r="I17" s="12" t="s">
        <v>13</v>
      </c>
      <c r="J17" s="11" t="s">
        <v>56</v>
      </c>
      <c r="K17" s="12" t="s">
        <v>13</v>
      </c>
      <c r="L17" s="11" t="s">
        <v>57</v>
      </c>
      <c r="M17" s="12" t="s">
        <v>13</v>
      </c>
      <c r="N17" s="11" t="s">
        <v>58</v>
      </c>
    </row>
    <row r="18" spans="2:14" ht="86.25" customHeight="1">
      <c r="B18" s="8">
        <v>9</v>
      </c>
      <c r="C18" s="79" t="s">
        <v>59</v>
      </c>
      <c r="D18" s="72"/>
      <c r="E18" s="15" t="s">
        <v>13</v>
      </c>
      <c r="F18" s="11" t="s">
        <v>60</v>
      </c>
      <c r="G18" s="12" t="s">
        <v>13</v>
      </c>
      <c r="H18" s="11" t="s">
        <v>61</v>
      </c>
      <c r="I18" s="14" t="s">
        <v>25</v>
      </c>
      <c r="J18" s="11" t="s">
        <v>62</v>
      </c>
      <c r="K18" s="14" t="s">
        <v>25</v>
      </c>
      <c r="L18" s="11" t="s">
        <v>63</v>
      </c>
      <c r="M18" s="14" t="s">
        <v>25</v>
      </c>
      <c r="N18" s="11" t="s">
        <v>64</v>
      </c>
    </row>
    <row r="19" spans="2:14" ht="109.2">
      <c r="B19" s="8">
        <v>10</v>
      </c>
      <c r="C19" s="79" t="s">
        <v>65</v>
      </c>
      <c r="D19" s="72"/>
      <c r="E19" s="16" t="s">
        <v>25</v>
      </c>
      <c r="F19" s="11" t="s">
        <v>66</v>
      </c>
      <c r="G19" s="17" t="s">
        <v>25</v>
      </c>
      <c r="H19" s="11" t="s">
        <v>67</v>
      </c>
      <c r="I19" s="17" t="s">
        <v>25</v>
      </c>
      <c r="J19" s="11" t="s">
        <v>68</v>
      </c>
      <c r="K19" s="17" t="s">
        <v>25</v>
      </c>
      <c r="L19" s="11" t="s">
        <v>69</v>
      </c>
      <c r="M19" s="17" t="s">
        <v>25</v>
      </c>
      <c r="N19" s="11" t="s">
        <v>70</v>
      </c>
    </row>
    <row r="20" spans="2:14" ht="109.5" customHeight="1">
      <c r="B20" s="8">
        <v>11</v>
      </c>
      <c r="C20" s="79" t="s">
        <v>71</v>
      </c>
      <c r="D20" s="72"/>
      <c r="E20" s="10" t="s">
        <v>13</v>
      </c>
      <c r="F20" s="11" t="s">
        <v>72</v>
      </c>
      <c r="G20" s="12" t="s">
        <v>13</v>
      </c>
      <c r="H20" s="11" t="s">
        <v>73</v>
      </c>
      <c r="I20" s="12" t="s">
        <v>13</v>
      </c>
      <c r="J20" s="11" t="s">
        <v>74</v>
      </c>
      <c r="K20" s="12" t="s">
        <v>13</v>
      </c>
      <c r="L20" s="11" t="s">
        <v>75</v>
      </c>
      <c r="M20" s="12" t="s">
        <v>13</v>
      </c>
      <c r="N20" s="11" t="s">
        <v>76</v>
      </c>
    </row>
    <row r="21" spans="2:14" ht="14.25" customHeight="1">
      <c r="C21" s="1"/>
    </row>
    <row r="22" spans="2:14" ht="14.25" customHeight="1">
      <c r="C22" s="1"/>
    </row>
    <row r="23" spans="2:14" ht="14.25" customHeight="1">
      <c r="C23" s="1"/>
    </row>
    <row r="24" spans="2:14" ht="14.25" customHeight="1">
      <c r="C24" s="1"/>
    </row>
    <row r="25" spans="2:14" ht="14.25" customHeight="1">
      <c r="C25" s="1"/>
    </row>
    <row r="26" spans="2:14" ht="14.25" customHeight="1">
      <c r="C26" s="1"/>
    </row>
    <row r="27" spans="2:14" ht="14.25" customHeight="1">
      <c r="C27" s="1"/>
    </row>
    <row r="28" spans="2:14" ht="14.25" customHeight="1">
      <c r="C28" s="1"/>
    </row>
    <row r="29" spans="2:14" ht="14.25" customHeight="1">
      <c r="C29" s="1"/>
    </row>
    <row r="30" spans="2:14" ht="14.25" customHeight="1">
      <c r="C30" s="1"/>
    </row>
    <row r="31" spans="2:14" ht="14.25" customHeight="1">
      <c r="C31" s="1"/>
    </row>
    <row r="32" spans="2:14" ht="14.25" customHeight="1">
      <c r="C32" s="1"/>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5.75" customHeight="1"/>
    <row r="222" spans="3:3" ht="15.75" customHeight="1"/>
    <row r="223" spans="3:3" ht="15.75" customHeight="1"/>
    <row r="224" spans="3: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C20:D20"/>
    <mergeCell ref="F7:F8"/>
    <mergeCell ref="G7:G8"/>
    <mergeCell ref="C10:D10"/>
    <mergeCell ref="C11:D11"/>
    <mergeCell ref="C12:D12"/>
    <mergeCell ref="C13:D13"/>
    <mergeCell ref="C14:D14"/>
    <mergeCell ref="C15:D15"/>
    <mergeCell ref="C16:D16"/>
    <mergeCell ref="C17:D17"/>
    <mergeCell ref="C18:D18"/>
    <mergeCell ref="C19:D19"/>
    <mergeCell ref="M7:M8"/>
    <mergeCell ref="B3:N4"/>
    <mergeCell ref="B5:D5"/>
    <mergeCell ref="E5:N5"/>
    <mergeCell ref="B6:N6"/>
    <mergeCell ref="B7:B8"/>
    <mergeCell ref="C7:D8"/>
    <mergeCell ref="E7:E8"/>
    <mergeCell ref="N7:N8"/>
    <mergeCell ref="H7:H8"/>
    <mergeCell ref="I7:I8"/>
    <mergeCell ref="J7:J8"/>
    <mergeCell ref="K7:K8"/>
    <mergeCell ref="L7:L8"/>
  </mergeCells>
  <printOptions horizontalCentered="1" verticalCentered="1"/>
  <pageMargins left="0.47" right="0.70866141732283472" top="0.74803149606299213" bottom="0.74803149606299213" header="0" footer="0"/>
  <pageSetup scale="56" orientation="landscape"/>
  <headerFooter>
    <oddFooter>&amp;LElaborado por: Ing Jenny A Ruiz R, Mónica  Gómez Docentes TC del Departamento de Ciencias de la  Computación IREB PROYECTO DE CHECK LIST  (CASO DE ESTUDIO ACADÉMICO)&amp;C&amp;P de &amp;R&amp;D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showGridLines="0" zoomScale="52" zoomScaleNormal="52" workbookViewId="0"/>
  </sheetViews>
  <sheetFormatPr baseColWidth="10" defaultColWidth="14.44140625" defaultRowHeight="15" customHeight="1"/>
  <cols>
    <col min="1" max="1" width="4.5546875" customWidth="1"/>
    <col min="2" max="2" width="4.44140625" customWidth="1"/>
    <col min="3" max="3" width="10.44140625" customWidth="1"/>
    <col min="4" max="4" width="34.6640625" customWidth="1"/>
    <col min="5" max="5" width="9.6640625" customWidth="1"/>
    <col min="6" max="6" width="38.109375" customWidth="1"/>
    <col min="7" max="7" width="9.6640625" customWidth="1"/>
    <col min="8" max="8" width="54" customWidth="1"/>
    <col min="9" max="9" width="10.88671875" customWidth="1"/>
    <col min="10" max="10" width="41.109375" customWidth="1"/>
    <col min="11" max="11" width="10.5546875" customWidth="1"/>
    <col min="12" max="12" width="45.5546875" customWidth="1"/>
    <col min="13" max="13" width="12.5546875" customWidth="1"/>
    <col min="14" max="14" width="42.6640625" customWidth="1"/>
    <col min="15" max="15" width="15" customWidth="1"/>
    <col min="16" max="16" width="42.109375" customWidth="1"/>
    <col min="18" max="18" width="35.44140625" customWidth="1"/>
    <col min="20" max="20" width="27.6640625" customWidth="1"/>
    <col min="22" max="22" width="27" customWidth="1"/>
    <col min="24" max="38" width="20.88671875" customWidth="1"/>
  </cols>
  <sheetData>
    <row r="1" spans="1:22" ht="14.25" customHeight="1">
      <c r="C1" s="1"/>
    </row>
    <row r="2" spans="1:22" ht="14.25" customHeight="1">
      <c r="C2" s="1"/>
    </row>
    <row r="3" spans="1:22" ht="30" customHeight="1">
      <c r="B3" s="61" t="s">
        <v>0</v>
      </c>
      <c r="C3" s="62"/>
      <c r="D3" s="62"/>
      <c r="E3" s="62"/>
      <c r="F3" s="62"/>
      <c r="G3" s="62"/>
      <c r="H3" s="62"/>
      <c r="I3" s="62"/>
      <c r="J3" s="62"/>
      <c r="K3" s="62"/>
      <c r="L3" s="62"/>
      <c r="M3" s="62"/>
      <c r="N3" s="62"/>
      <c r="O3" s="62"/>
      <c r="P3" s="62"/>
      <c r="Q3" s="62"/>
      <c r="R3" s="62"/>
      <c r="S3" s="62"/>
      <c r="T3" s="62"/>
      <c r="U3" s="62"/>
      <c r="V3" s="63"/>
    </row>
    <row r="4" spans="1:22" ht="30" customHeight="1">
      <c r="B4" s="64"/>
      <c r="C4" s="65"/>
      <c r="D4" s="65"/>
      <c r="E4" s="65"/>
      <c r="F4" s="65"/>
      <c r="G4" s="65"/>
      <c r="H4" s="65"/>
      <c r="I4" s="65"/>
      <c r="J4" s="65"/>
      <c r="K4" s="65"/>
      <c r="L4" s="65"/>
      <c r="M4" s="65"/>
      <c r="N4" s="65"/>
      <c r="O4" s="65"/>
      <c r="P4" s="65"/>
      <c r="Q4" s="65"/>
      <c r="R4" s="65"/>
      <c r="S4" s="65"/>
      <c r="T4" s="65"/>
      <c r="U4" s="65"/>
      <c r="V4" s="66"/>
    </row>
    <row r="5" spans="1:22" ht="51" customHeight="1">
      <c r="B5" s="67" t="s">
        <v>1</v>
      </c>
      <c r="C5" s="68"/>
      <c r="D5" s="68"/>
      <c r="E5" s="69" t="s">
        <v>2</v>
      </c>
      <c r="F5" s="62"/>
      <c r="G5" s="62"/>
      <c r="H5" s="62"/>
      <c r="I5" s="62"/>
      <c r="J5" s="62"/>
      <c r="K5" s="62"/>
      <c r="L5" s="62"/>
      <c r="M5" s="62"/>
      <c r="N5" s="62"/>
      <c r="O5" s="62"/>
      <c r="P5" s="62"/>
      <c r="Q5" s="62"/>
      <c r="R5" s="62"/>
      <c r="S5" s="62"/>
      <c r="T5" s="62"/>
      <c r="U5" s="62"/>
      <c r="V5" s="63"/>
    </row>
    <row r="6" spans="1:22" ht="55.5" customHeight="1">
      <c r="B6" s="70" t="s">
        <v>3</v>
      </c>
      <c r="C6" s="71"/>
      <c r="D6" s="71"/>
      <c r="E6" s="71"/>
      <c r="F6" s="71"/>
      <c r="G6" s="71"/>
      <c r="H6" s="71"/>
      <c r="I6" s="71"/>
      <c r="J6" s="71"/>
      <c r="K6" s="71"/>
      <c r="L6" s="71"/>
      <c r="M6" s="71"/>
      <c r="N6" s="71"/>
      <c r="O6" s="71"/>
      <c r="P6" s="71"/>
      <c r="Q6" s="71"/>
      <c r="R6" s="71"/>
      <c r="S6" s="71"/>
      <c r="T6" s="71"/>
      <c r="U6" s="71"/>
      <c r="V6" s="72"/>
    </row>
    <row r="7" spans="1:22" ht="45" customHeight="1">
      <c r="B7" s="73" t="s">
        <v>4</v>
      </c>
      <c r="C7" s="74" t="s">
        <v>5</v>
      </c>
      <c r="D7" s="75"/>
      <c r="E7" s="60" t="s">
        <v>6</v>
      </c>
      <c r="F7" s="80" t="s">
        <v>77</v>
      </c>
      <c r="G7" s="62"/>
      <c r="H7" s="62"/>
      <c r="I7" s="62"/>
      <c r="J7" s="62"/>
      <c r="K7" s="62"/>
      <c r="L7" s="63"/>
      <c r="M7" s="60" t="s">
        <v>6</v>
      </c>
      <c r="N7" s="80" t="s">
        <v>78</v>
      </c>
      <c r="O7" s="62"/>
      <c r="P7" s="63"/>
      <c r="Q7" s="60" t="s">
        <v>6</v>
      </c>
      <c r="R7" s="80" t="s">
        <v>79</v>
      </c>
      <c r="S7" s="62"/>
      <c r="T7" s="62"/>
      <c r="U7" s="62"/>
      <c r="V7" s="63"/>
    </row>
    <row r="8" spans="1:22" ht="14.4">
      <c r="B8" s="59"/>
      <c r="C8" s="64"/>
      <c r="D8" s="66"/>
      <c r="E8" s="59"/>
      <c r="F8" s="64"/>
      <c r="G8" s="65"/>
      <c r="H8" s="65"/>
      <c r="I8" s="65"/>
      <c r="J8" s="65"/>
      <c r="K8" s="65"/>
      <c r="L8" s="66"/>
      <c r="M8" s="59"/>
      <c r="N8" s="64"/>
      <c r="O8" s="65"/>
      <c r="P8" s="66"/>
      <c r="Q8" s="59"/>
      <c r="R8" s="64"/>
      <c r="S8" s="65"/>
      <c r="T8" s="65"/>
      <c r="U8" s="65"/>
      <c r="V8" s="66"/>
    </row>
    <row r="9" spans="1:22" ht="60" customHeight="1">
      <c r="A9" s="2"/>
      <c r="B9" s="3"/>
      <c r="C9" s="3"/>
      <c r="D9" s="4"/>
      <c r="E9" s="18"/>
      <c r="F9" s="19" t="s">
        <v>80</v>
      </c>
      <c r="G9" s="20"/>
      <c r="H9" s="21" t="s">
        <v>81</v>
      </c>
      <c r="I9" s="18"/>
      <c r="J9" s="22" t="s">
        <v>82</v>
      </c>
      <c r="K9" s="18"/>
      <c r="L9" s="22" t="s">
        <v>83</v>
      </c>
      <c r="M9" s="18"/>
      <c r="N9" s="19" t="s">
        <v>84</v>
      </c>
      <c r="O9" s="20"/>
      <c r="P9" s="21" t="s">
        <v>85</v>
      </c>
      <c r="Q9" s="18"/>
      <c r="R9" s="19" t="s">
        <v>86</v>
      </c>
      <c r="S9" s="20"/>
      <c r="T9" s="21" t="s">
        <v>87</v>
      </c>
      <c r="U9" s="18"/>
      <c r="V9" s="22" t="s">
        <v>88</v>
      </c>
    </row>
    <row r="10" spans="1:22" ht="87" customHeight="1">
      <c r="B10" s="9">
        <v>1</v>
      </c>
      <c r="C10" s="79" t="s">
        <v>12</v>
      </c>
      <c r="D10" s="72"/>
      <c r="E10" s="23" t="s">
        <v>13</v>
      </c>
      <c r="F10" s="11" t="s">
        <v>14</v>
      </c>
      <c r="G10" s="15" t="s">
        <v>13</v>
      </c>
      <c r="H10" s="11" t="s">
        <v>14</v>
      </c>
      <c r="I10" s="23" t="s">
        <v>13</v>
      </c>
      <c r="J10" s="11" t="s">
        <v>14</v>
      </c>
      <c r="K10" s="23" t="s">
        <v>13</v>
      </c>
      <c r="L10" s="11" t="s">
        <v>14</v>
      </c>
      <c r="M10" s="23" t="s">
        <v>13</v>
      </c>
      <c r="N10" s="11" t="s">
        <v>14</v>
      </c>
      <c r="O10" s="15" t="s">
        <v>13</v>
      </c>
      <c r="P10" s="11" t="s">
        <v>14</v>
      </c>
      <c r="Q10" s="12" t="s">
        <v>13</v>
      </c>
      <c r="R10" s="24" t="s">
        <v>15</v>
      </c>
      <c r="S10" s="10" t="s">
        <v>13</v>
      </c>
      <c r="T10" s="24" t="s">
        <v>15</v>
      </c>
      <c r="U10" s="12" t="s">
        <v>13</v>
      </c>
      <c r="V10" s="13" t="s">
        <v>15</v>
      </c>
    </row>
    <row r="11" spans="1:22" ht="109.2">
      <c r="B11" s="9">
        <v>2</v>
      </c>
      <c r="C11" s="79" t="s">
        <v>16</v>
      </c>
      <c r="D11" s="72"/>
      <c r="E11" s="23" t="s">
        <v>13</v>
      </c>
      <c r="F11" s="25" t="s">
        <v>89</v>
      </c>
      <c r="G11" s="23" t="s">
        <v>13</v>
      </c>
      <c r="H11" s="25" t="s">
        <v>90</v>
      </c>
      <c r="I11" s="23" t="s">
        <v>13</v>
      </c>
      <c r="J11" s="11" t="s">
        <v>91</v>
      </c>
      <c r="K11" s="23" t="s">
        <v>13</v>
      </c>
      <c r="L11" s="11" t="s">
        <v>92</v>
      </c>
      <c r="M11" s="23" t="s">
        <v>13</v>
      </c>
      <c r="N11" s="25" t="s">
        <v>93</v>
      </c>
      <c r="O11" s="23" t="s">
        <v>13</v>
      </c>
      <c r="P11" s="25" t="s">
        <v>94</v>
      </c>
      <c r="Q11" s="12" t="s">
        <v>13</v>
      </c>
      <c r="R11" s="26" t="s">
        <v>95</v>
      </c>
      <c r="S11" s="16" t="s">
        <v>25</v>
      </c>
      <c r="T11" s="26" t="s">
        <v>96</v>
      </c>
      <c r="U11" s="12" t="s">
        <v>13</v>
      </c>
      <c r="V11" s="13" t="s">
        <v>97</v>
      </c>
    </row>
    <row r="12" spans="1:22" ht="127.5" customHeight="1">
      <c r="B12" s="9">
        <v>3</v>
      </c>
      <c r="C12" s="79" t="s">
        <v>22</v>
      </c>
      <c r="D12" s="72"/>
      <c r="E12" s="23" t="s">
        <v>13</v>
      </c>
      <c r="F12" s="25" t="s">
        <v>98</v>
      </c>
      <c r="G12" s="15" t="s">
        <v>13</v>
      </c>
      <c r="H12" s="25" t="s">
        <v>99</v>
      </c>
      <c r="I12" s="14" t="s">
        <v>25</v>
      </c>
      <c r="J12" s="11" t="s">
        <v>100</v>
      </c>
      <c r="K12" s="23" t="s">
        <v>13</v>
      </c>
      <c r="L12" s="11" t="s">
        <v>101</v>
      </c>
      <c r="M12" s="23" t="s">
        <v>13</v>
      </c>
      <c r="N12" s="25" t="s">
        <v>102</v>
      </c>
      <c r="O12" s="15" t="s">
        <v>13</v>
      </c>
      <c r="P12" s="25" t="s">
        <v>103</v>
      </c>
      <c r="Q12" s="12" t="s">
        <v>13</v>
      </c>
      <c r="R12" s="26" t="s">
        <v>104</v>
      </c>
      <c r="S12" s="10" t="s">
        <v>13</v>
      </c>
      <c r="T12" s="26" t="s">
        <v>105</v>
      </c>
      <c r="U12" s="12" t="s">
        <v>13</v>
      </c>
      <c r="V12" s="13" t="s">
        <v>106</v>
      </c>
    </row>
    <row r="13" spans="1:22" ht="107.25" customHeight="1">
      <c r="B13" s="9">
        <v>4</v>
      </c>
      <c r="C13" s="79" t="s">
        <v>29</v>
      </c>
      <c r="D13" s="72"/>
      <c r="E13" s="23" t="s">
        <v>13</v>
      </c>
      <c r="F13" s="27" t="s">
        <v>107</v>
      </c>
      <c r="G13" s="15" t="s">
        <v>13</v>
      </c>
      <c r="H13" s="27" t="s">
        <v>108</v>
      </c>
      <c r="I13" s="23" t="s">
        <v>13</v>
      </c>
      <c r="J13" s="27" t="s">
        <v>109</v>
      </c>
      <c r="K13" s="23" t="s">
        <v>13</v>
      </c>
      <c r="L13" s="11" t="s">
        <v>110</v>
      </c>
      <c r="M13" s="23" t="s">
        <v>13</v>
      </c>
      <c r="N13" s="27" t="s">
        <v>111</v>
      </c>
      <c r="O13" s="15" t="s">
        <v>13</v>
      </c>
      <c r="P13" s="27" t="s">
        <v>112</v>
      </c>
      <c r="Q13" s="12" t="s">
        <v>13</v>
      </c>
      <c r="R13" s="28" t="s">
        <v>113</v>
      </c>
      <c r="S13" s="10" t="s">
        <v>13</v>
      </c>
      <c r="T13" s="28" t="s">
        <v>113</v>
      </c>
      <c r="U13" s="12" t="s">
        <v>13</v>
      </c>
      <c r="V13" s="28" t="s">
        <v>113</v>
      </c>
    </row>
    <row r="14" spans="1:22" ht="93.6">
      <c r="B14" s="9">
        <v>5</v>
      </c>
      <c r="C14" s="79" t="s">
        <v>35</v>
      </c>
      <c r="D14" s="72"/>
      <c r="E14" s="23" t="s">
        <v>13</v>
      </c>
      <c r="F14" s="27" t="s">
        <v>114</v>
      </c>
      <c r="G14" s="23" t="s">
        <v>13</v>
      </c>
      <c r="H14" s="27" t="s">
        <v>115</v>
      </c>
      <c r="I14" s="23" t="s">
        <v>13</v>
      </c>
      <c r="J14" s="11" t="s">
        <v>116</v>
      </c>
      <c r="K14" s="23" t="s">
        <v>13</v>
      </c>
      <c r="L14" s="11" t="s">
        <v>117</v>
      </c>
      <c r="M14" s="23" t="s">
        <v>13</v>
      </c>
      <c r="N14" s="27" t="s">
        <v>118</v>
      </c>
      <c r="O14" s="29" t="s">
        <v>25</v>
      </c>
      <c r="P14" s="27" t="s">
        <v>119</v>
      </c>
      <c r="Q14" s="12" t="s">
        <v>13</v>
      </c>
      <c r="R14" s="28" t="s">
        <v>120</v>
      </c>
      <c r="S14" s="16" t="s">
        <v>121</v>
      </c>
      <c r="T14" s="28" t="s">
        <v>122</v>
      </c>
      <c r="U14" s="12" t="s">
        <v>13</v>
      </c>
      <c r="V14" s="13" t="s">
        <v>123</v>
      </c>
    </row>
    <row r="15" spans="1:22" ht="93.6">
      <c r="B15" s="9">
        <v>6</v>
      </c>
      <c r="C15" s="78" t="s">
        <v>124</v>
      </c>
      <c r="D15" s="72"/>
      <c r="E15" s="23" t="s">
        <v>13</v>
      </c>
      <c r="F15" s="27" t="s">
        <v>125</v>
      </c>
      <c r="G15" s="15" t="s">
        <v>13</v>
      </c>
      <c r="H15" s="27" t="s">
        <v>126</v>
      </c>
      <c r="I15" s="23" t="s">
        <v>13</v>
      </c>
      <c r="J15" s="11" t="s">
        <v>127</v>
      </c>
      <c r="K15" s="23" t="s">
        <v>13</v>
      </c>
      <c r="L15" s="11" t="s">
        <v>128</v>
      </c>
      <c r="M15" s="23" t="s">
        <v>13</v>
      </c>
      <c r="N15" s="27" t="s">
        <v>129</v>
      </c>
      <c r="O15" s="15" t="s">
        <v>13</v>
      </c>
      <c r="P15" s="27" t="s">
        <v>130</v>
      </c>
      <c r="Q15" s="12" t="s">
        <v>13</v>
      </c>
      <c r="R15" s="28" t="s">
        <v>131</v>
      </c>
      <c r="S15" s="10" t="s">
        <v>13</v>
      </c>
      <c r="T15" s="28" t="s">
        <v>131</v>
      </c>
      <c r="U15" s="12" t="s">
        <v>13</v>
      </c>
      <c r="V15" s="13" t="s">
        <v>132</v>
      </c>
    </row>
    <row r="16" spans="1:22" ht="109.2">
      <c r="B16" s="9">
        <v>7</v>
      </c>
      <c r="C16" s="79" t="s">
        <v>47</v>
      </c>
      <c r="D16" s="72"/>
      <c r="E16" s="23" t="s">
        <v>13</v>
      </c>
      <c r="F16" s="27" t="s">
        <v>133</v>
      </c>
      <c r="G16" s="15" t="s">
        <v>13</v>
      </c>
      <c r="H16" s="27" t="s">
        <v>134</v>
      </c>
      <c r="I16" s="23" t="s">
        <v>13</v>
      </c>
      <c r="J16" s="11" t="s">
        <v>135</v>
      </c>
      <c r="K16" s="23" t="s">
        <v>13</v>
      </c>
      <c r="L16" s="11" t="s">
        <v>136</v>
      </c>
      <c r="M16" s="23" t="s">
        <v>13</v>
      </c>
      <c r="N16" s="27" t="s">
        <v>137</v>
      </c>
      <c r="O16" s="15" t="s">
        <v>13</v>
      </c>
      <c r="P16" s="27" t="s">
        <v>138</v>
      </c>
      <c r="Q16" s="12" t="s">
        <v>13</v>
      </c>
      <c r="R16" s="28" t="s">
        <v>139</v>
      </c>
      <c r="S16" s="10" t="s">
        <v>13</v>
      </c>
      <c r="T16" s="28" t="s">
        <v>140</v>
      </c>
      <c r="U16" s="12" t="s">
        <v>13</v>
      </c>
      <c r="V16" s="13" t="s">
        <v>141</v>
      </c>
    </row>
    <row r="17" spans="2:22" ht="87" customHeight="1">
      <c r="B17" s="9">
        <v>8</v>
      </c>
      <c r="C17" s="79" t="s">
        <v>53</v>
      </c>
      <c r="D17" s="72"/>
      <c r="E17" s="23" t="s">
        <v>13</v>
      </c>
      <c r="F17" s="27" t="s">
        <v>142</v>
      </c>
      <c r="G17" s="15" t="s">
        <v>13</v>
      </c>
      <c r="H17" s="27" t="s">
        <v>143</v>
      </c>
      <c r="I17" s="23" t="s">
        <v>13</v>
      </c>
      <c r="J17" s="11" t="s">
        <v>144</v>
      </c>
      <c r="K17" s="23" t="s">
        <v>13</v>
      </c>
      <c r="L17" s="11" t="s">
        <v>145</v>
      </c>
      <c r="M17" s="23" t="s">
        <v>13</v>
      </c>
      <c r="N17" s="27" t="s">
        <v>146</v>
      </c>
      <c r="O17" s="15" t="s">
        <v>13</v>
      </c>
      <c r="P17" s="27" t="s">
        <v>147</v>
      </c>
      <c r="Q17" s="12" t="s">
        <v>13</v>
      </c>
      <c r="R17" s="28" t="s">
        <v>148</v>
      </c>
      <c r="S17" s="10" t="s">
        <v>13</v>
      </c>
      <c r="T17" s="28" t="s">
        <v>148</v>
      </c>
      <c r="U17" s="12" t="s">
        <v>13</v>
      </c>
      <c r="V17" s="13" t="s">
        <v>149</v>
      </c>
    </row>
    <row r="18" spans="2:22" ht="93.6">
      <c r="B18" s="9">
        <v>9</v>
      </c>
      <c r="C18" s="79" t="s">
        <v>59</v>
      </c>
      <c r="D18" s="72"/>
      <c r="E18" s="23" t="s">
        <v>13</v>
      </c>
      <c r="F18" s="30" t="s">
        <v>150</v>
      </c>
      <c r="G18" s="15" t="s">
        <v>13</v>
      </c>
      <c r="H18" s="30" t="s">
        <v>151</v>
      </c>
      <c r="I18" s="14" t="s">
        <v>25</v>
      </c>
      <c r="J18" s="11" t="s">
        <v>152</v>
      </c>
      <c r="K18" s="23" t="s">
        <v>13</v>
      </c>
      <c r="L18" s="11" t="s">
        <v>153</v>
      </c>
      <c r="M18" s="23" t="s">
        <v>13</v>
      </c>
      <c r="N18" s="30" t="s">
        <v>154</v>
      </c>
      <c r="O18" s="15" t="s">
        <v>25</v>
      </c>
      <c r="P18" s="30" t="s">
        <v>155</v>
      </c>
      <c r="Q18" s="12" t="s">
        <v>13</v>
      </c>
      <c r="R18" s="31" t="s">
        <v>156</v>
      </c>
      <c r="S18" s="10" t="s">
        <v>13</v>
      </c>
      <c r="T18" s="30" t="s">
        <v>157</v>
      </c>
      <c r="U18" s="12" t="s">
        <v>13</v>
      </c>
      <c r="V18" s="13" t="s">
        <v>158</v>
      </c>
    </row>
    <row r="19" spans="2:22" ht="93.6">
      <c r="B19" s="9">
        <v>10</v>
      </c>
      <c r="C19" s="79" t="s">
        <v>65</v>
      </c>
      <c r="D19" s="72"/>
      <c r="E19" s="14" t="s">
        <v>25</v>
      </c>
      <c r="F19" s="27" t="s">
        <v>159</v>
      </c>
      <c r="G19" s="23" t="s">
        <v>13</v>
      </c>
      <c r="H19" s="27" t="s">
        <v>160</v>
      </c>
      <c r="I19" s="23" t="s">
        <v>13</v>
      </c>
      <c r="J19" s="11" t="s">
        <v>161</v>
      </c>
      <c r="K19" s="23" t="s">
        <v>13</v>
      </c>
      <c r="L19" s="11" t="s">
        <v>162</v>
      </c>
      <c r="M19" s="23" t="s">
        <v>13</v>
      </c>
      <c r="N19" s="27" t="s">
        <v>163</v>
      </c>
      <c r="O19" s="29" t="s">
        <v>25</v>
      </c>
      <c r="P19" s="27" t="s">
        <v>164</v>
      </c>
      <c r="Q19" s="17" t="s">
        <v>25</v>
      </c>
      <c r="R19" s="28" t="s">
        <v>165</v>
      </c>
      <c r="S19" s="16" t="s">
        <v>25</v>
      </c>
      <c r="T19" s="28" t="s">
        <v>166</v>
      </c>
      <c r="U19" s="17" t="s">
        <v>25</v>
      </c>
      <c r="V19" s="13" t="s">
        <v>167</v>
      </c>
    </row>
    <row r="20" spans="2:22" ht="78">
      <c r="B20" s="9">
        <v>11</v>
      </c>
      <c r="C20" s="79" t="s">
        <v>71</v>
      </c>
      <c r="D20" s="72"/>
      <c r="E20" s="23" t="s">
        <v>13</v>
      </c>
      <c r="F20" s="27" t="s">
        <v>168</v>
      </c>
      <c r="G20" s="15" t="s">
        <v>13</v>
      </c>
      <c r="H20" s="27" t="s">
        <v>169</v>
      </c>
      <c r="I20" s="23" t="s">
        <v>13</v>
      </c>
      <c r="J20" s="11" t="s">
        <v>170</v>
      </c>
      <c r="K20" s="23" t="s">
        <v>13</v>
      </c>
      <c r="L20" s="11" t="s">
        <v>171</v>
      </c>
      <c r="M20" s="23" t="s">
        <v>13</v>
      </c>
      <c r="N20" s="27" t="s">
        <v>172</v>
      </c>
      <c r="O20" s="15" t="s">
        <v>13</v>
      </c>
      <c r="P20" s="27" t="s">
        <v>173</v>
      </c>
      <c r="Q20" s="12" t="s">
        <v>13</v>
      </c>
      <c r="R20" s="28" t="s">
        <v>174</v>
      </c>
      <c r="S20" s="10" t="s">
        <v>13</v>
      </c>
      <c r="T20" s="28" t="s">
        <v>174</v>
      </c>
      <c r="U20" s="12" t="s">
        <v>13</v>
      </c>
      <c r="V20" s="13" t="s">
        <v>174</v>
      </c>
    </row>
    <row r="21" spans="2:22" ht="14.25" customHeight="1">
      <c r="C21" s="1"/>
    </row>
    <row r="22" spans="2:22" ht="14.25" customHeight="1">
      <c r="C22" s="1"/>
    </row>
    <row r="23" spans="2:22" ht="14.25" customHeight="1">
      <c r="C23" s="1"/>
    </row>
    <row r="24" spans="2:22" ht="14.25" customHeight="1">
      <c r="C24" s="1"/>
    </row>
    <row r="25" spans="2:22" ht="14.25" customHeight="1">
      <c r="C25" s="1"/>
    </row>
    <row r="26" spans="2:22" ht="14.25" customHeight="1">
      <c r="C26" s="1"/>
    </row>
    <row r="27" spans="2:22" ht="14.25" customHeight="1">
      <c r="C27" s="1"/>
    </row>
    <row r="28" spans="2:22" ht="14.25" customHeight="1">
      <c r="C28" s="1"/>
    </row>
    <row r="29" spans="2:22" ht="14.25" customHeight="1">
      <c r="C29" s="1"/>
    </row>
    <row r="30" spans="2:22" ht="14.25" customHeight="1">
      <c r="C30" s="1"/>
    </row>
    <row r="31" spans="2:22" ht="14.25" customHeight="1">
      <c r="C31" s="1"/>
    </row>
    <row r="32" spans="2:22" ht="14.25" customHeight="1">
      <c r="C32" s="1"/>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5.75" customHeight="1"/>
    <row r="222" spans="3:3" ht="15.75" customHeight="1"/>
    <row r="223" spans="3:3" ht="15.75" customHeight="1"/>
    <row r="224" spans="3: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C20:D20"/>
    <mergeCell ref="F7:L8"/>
    <mergeCell ref="M7:M8"/>
    <mergeCell ref="C10:D10"/>
    <mergeCell ref="C11:D11"/>
    <mergeCell ref="C12:D12"/>
    <mergeCell ref="C13:D13"/>
    <mergeCell ref="C14:D14"/>
    <mergeCell ref="C15:D15"/>
    <mergeCell ref="C16:D16"/>
    <mergeCell ref="C17:D17"/>
    <mergeCell ref="C18:D18"/>
    <mergeCell ref="C19:D19"/>
    <mergeCell ref="N7:P8"/>
    <mergeCell ref="Q7:Q8"/>
    <mergeCell ref="B3:V4"/>
    <mergeCell ref="B5:D5"/>
    <mergeCell ref="E5:V5"/>
    <mergeCell ref="B6:V6"/>
    <mergeCell ref="B7:B8"/>
    <mergeCell ref="C7:D8"/>
    <mergeCell ref="E7:E8"/>
    <mergeCell ref="R7:V8"/>
  </mergeCells>
  <printOptions horizontalCentered="1" verticalCentered="1"/>
  <pageMargins left="0.47" right="0.70866141732283472" top="0.74803149606299213" bottom="0.74803149606299213" header="0" footer="0"/>
  <pageSetup scale="56" orientation="landscape"/>
  <headerFooter>
    <oddFooter>&amp;LElaborado por: Ing Jenny A Ruiz R, Mónica  Gómez Docentes TC del Departamento de Ciencias de la  Computación IREB PROYECTO DE CHECK LIST  (CASO DE ESTUDIO ACADÉMICO)&amp;C&amp;P de &amp;R&amp;D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zoomScale="60" zoomScaleNormal="60" workbookViewId="0">
      <selection activeCell="D45" sqref="D45"/>
    </sheetView>
  </sheetViews>
  <sheetFormatPr baseColWidth="10" defaultColWidth="14.44140625" defaultRowHeight="15" customHeight="1"/>
  <cols>
    <col min="1" max="1" width="10.6640625" customWidth="1"/>
    <col min="2" max="2" width="36.6640625" customWidth="1"/>
    <col min="3" max="3" width="16.109375" customWidth="1"/>
    <col min="4" max="4" width="30.6640625"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16" width="10.6640625" customWidth="1"/>
  </cols>
  <sheetData>
    <row r="1" spans="1:16" ht="18">
      <c r="A1" s="81" t="s">
        <v>1</v>
      </c>
      <c r="B1" s="72"/>
      <c r="C1" s="82" t="s">
        <v>2</v>
      </c>
      <c r="D1" s="72"/>
      <c r="E1" s="32"/>
      <c r="F1" s="32"/>
      <c r="G1" s="32"/>
      <c r="H1" s="32"/>
      <c r="I1" s="32"/>
      <c r="J1" s="32"/>
      <c r="K1" s="32"/>
      <c r="L1" s="32"/>
      <c r="M1" s="32"/>
      <c r="N1" s="32"/>
      <c r="O1" s="32"/>
      <c r="P1" s="32"/>
    </row>
    <row r="2" spans="1:16" ht="18">
      <c r="A2" s="83" t="s">
        <v>175</v>
      </c>
      <c r="B2" s="72"/>
      <c r="C2" s="84">
        <v>46157</v>
      </c>
      <c r="D2" s="72"/>
    </row>
    <row r="3" spans="1:16" ht="18">
      <c r="A3" s="83" t="s">
        <v>176</v>
      </c>
      <c r="B3" s="72"/>
      <c r="C3" s="85" t="s">
        <v>177</v>
      </c>
      <c r="D3" s="72"/>
    </row>
    <row r="4" spans="1:16" ht="18">
      <c r="A4" s="83" t="s">
        <v>178</v>
      </c>
      <c r="B4" s="72"/>
      <c r="C4" s="85" t="s">
        <v>7</v>
      </c>
      <c r="D4" s="72"/>
    </row>
    <row r="5" spans="1:16" ht="14.25" customHeight="1"/>
    <row r="6" spans="1:16" ht="23.4">
      <c r="A6" s="88" t="s">
        <v>179</v>
      </c>
      <c r="B6" s="71"/>
      <c r="C6" s="71"/>
      <c r="D6" s="72"/>
    </row>
    <row r="7" spans="1:16" ht="18">
      <c r="A7" s="33" t="s">
        <v>180</v>
      </c>
      <c r="B7" s="33" t="s">
        <v>181</v>
      </c>
      <c r="C7" s="33" t="s">
        <v>182</v>
      </c>
      <c r="D7" s="33" t="s">
        <v>183</v>
      </c>
    </row>
    <row r="8" spans="1:16" ht="28.8">
      <c r="A8" s="34">
        <v>1</v>
      </c>
      <c r="B8" s="35" t="s">
        <v>184</v>
      </c>
      <c r="C8" s="36" t="s">
        <v>185</v>
      </c>
      <c r="D8" s="34"/>
    </row>
    <row r="9" spans="1:16" ht="28.8">
      <c r="A9" s="34">
        <v>2</v>
      </c>
      <c r="B9" s="35" t="s">
        <v>186</v>
      </c>
      <c r="C9" s="34" t="s">
        <v>185</v>
      </c>
      <c r="D9" s="34"/>
    </row>
    <row r="10" spans="1:16" ht="57.6">
      <c r="A10" s="34">
        <v>3</v>
      </c>
      <c r="B10" s="35" t="s">
        <v>187</v>
      </c>
      <c r="C10" s="34"/>
      <c r="D10" s="37" t="s">
        <v>185</v>
      </c>
    </row>
    <row r="11" spans="1:16" ht="28.8">
      <c r="A11" s="34">
        <v>4</v>
      </c>
      <c r="B11" s="35" t="s">
        <v>188</v>
      </c>
      <c r="C11" s="34" t="s">
        <v>185</v>
      </c>
      <c r="D11" s="34"/>
    </row>
    <row r="12" spans="1:16" ht="28.8">
      <c r="A12" s="34">
        <v>5</v>
      </c>
      <c r="B12" s="35" t="s">
        <v>189</v>
      </c>
      <c r="C12" s="34" t="s">
        <v>185</v>
      </c>
      <c r="D12" s="34"/>
    </row>
    <row r="13" spans="1:16" ht="28.8">
      <c r="A13" s="34">
        <v>6</v>
      </c>
      <c r="B13" s="35" t="s">
        <v>190</v>
      </c>
      <c r="C13" s="34" t="s">
        <v>185</v>
      </c>
      <c r="D13" s="34"/>
    </row>
    <row r="14" spans="1:16" ht="28.8">
      <c r="A14" s="34">
        <v>7</v>
      </c>
      <c r="B14" s="35" t="s">
        <v>191</v>
      </c>
      <c r="C14" s="34" t="s">
        <v>185</v>
      </c>
      <c r="D14" s="34"/>
    </row>
    <row r="15" spans="1:16" ht="43.2">
      <c r="A15" s="34">
        <v>8</v>
      </c>
      <c r="B15" s="35" t="s">
        <v>192</v>
      </c>
      <c r="C15" s="34" t="s">
        <v>185</v>
      </c>
      <c r="D15" s="34"/>
    </row>
    <row r="16" spans="1:16" ht="57.6">
      <c r="A16" s="34">
        <v>9</v>
      </c>
      <c r="B16" s="35" t="s">
        <v>193</v>
      </c>
      <c r="C16" s="34" t="s">
        <v>185</v>
      </c>
      <c r="D16" s="34"/>
    </row>
    <row r="17" spans="1:4" ht="18">
      <c r="A17" s="86" t="s">
        <v>194</v>
      </c>
      <c r="B17" s="72"/>
      <c r="C17" s="38">
        <f>COUNTA('MODELO LISTA DE COMPROBACION 1'!$C$8:$C$16)</f>
        <v>8</v>
      </c>
      <c r="D17" s="38">
        <f>COUNTA('MODELO LISTA DE COMPROBACION 1'!$D$8:$D$16)</f>
        <v>1</v>
      </c>
    </row>
    <row r="18" spans="1:4" ht="18">
      <c r="A18" s="86" t="s">
        <v>195</v>
      </c>
      <c r="B18" s="72"/>
      <c r="C18" s="39">
        <f t="shared" ref="C18:D18" si="0">C17/9</f>
        <v>0.88888888888888884</v>
      </c>
      <c r="D18" s="39">
        <f t="shared" si="0"/>
        <v>0.1111111111111111</v>
      </c>
    </row>
    <row r="19" spans="1:4" ht="14.25" customHeight="1">
      <c r="A19" s="40"/>
      <c r="B19" s="40"/>
      <c r="C19" s="41"/>
      <c r="D19" s="2"/>
    </row>
    <row r="20" spans="1:4" ht="23.4">
      <c r="A20" s="88" t="s">
        <v>196</v>
      </c>
      <c r="B20" s="71"/>
      <c r="C20" s="71"/>
      <c r="D20" s="72"/>
    </row>
    <row r="21" spans="1:4" ht="15.75" customHeight="1">
      <c r="A21" s="42" t="s">
        <v>180</v>
      </c>
      <c r="B21" s="42" t="s">
        <v>181</v>
      </c>
      <c r="C21" s="43" t="s">
        <v>182</v>
      </c>
      <c r="D21" s="43" t="s">
        <v>183</v>
      </c>
    </row>
    <row r="22" spans="1:4" ht="15.75" customHeight="1">
      <c r="A22" s="34">
        <v>1</v>
      </c>
      <c r="B22" s="35" t="s">
        <v>197</v>
      </c>
      <c r="C22" s="34" t="s">
        <v>185</v>
      </c>
      <c r="D22" s="34"/>
    </row>
    <row r="23" spans="1:4" ht="15.75" customHeight="1">
      <c r="A23" s="34">
        <v>2</v>
      </c>
      <c r="B23" s="35" t="s">
        <v>198</v>
      </c>
      <c r="C23" s="34" t="s">
        <v>185</v>
      </c>
      <c r="D23" s="34"/>
    </row>
    <row r="24" spans="1:4" ht="15.75" customHeight="1">
      <c r="A24" s="34">
        <v>3</v>
      </c>
      <c r="B24" s="35" t="s">
        <v>199</v>
      </c>
      <c r="C24" s="34" t="s">
        <v>185</v>
      </c>
      <c r="D24" s="34"/>
    </row>
    <row r="25" spans="1:4" ht="15.75" customHeight="1">
      <c r="A25" s="34">
        <v>4</v>
      </c>
      <c r="B25" s="35" t="s">
        <v>200</v>
      </c>
      <c r="C25" s="34" t="s">
        <v>185</v>
      </c>
      <c r="D25" s="34"/>
    </row>
    <row r="26" spans="1:4" ht="15.75" customHeight="1">
      <c r="A26" s="34">
        <v>5</v>
      </c>
      <c r="B26" s="35" t="s">
        <v>201</v>
      </c>
      <c r="C26" s="34" t="s">
        <v>185</v>
      </c>
      <c r="D26" s="34"/>
    </row>
    <row r="27" spans="1:4" ht="15.75" customHeight="1">
      <c r="A27" s="86" t="s">
        <v>194</v>
      </c>
      <c r="B27" s="72"/>
      <c r="C27" s="38">
        <f>COUNTA('MODELO LISTA DE COMPROBACION 1'!$C$22:$C$26)</f>
        <v>5</v>
      </c>
      <c r="D27" s="38">
        <f>COUNTA('MODELO LISTA DE COMPROBACION 1'!$D$22:$D$26)</f>
        <v>0</v>
      </c>
    </row>
    <row r="28" spans="1:4" ht="15.75" customHeight="1">
      <c r="A28" s="86" t="s">
        <v>195</v>
      </c>
      <c r="B28" s="72"/>
      <c r="C28" s="39">
        <f t="shared" ref="C28:D28" si="1">C27/5</f>
        <v>1</v>
      </c>
      <c r="D28" s="39">
        <f t="shared" si="1"/>
        <v>0</v>
      </c>
    </row>
    <row r="29" spans="1:4" ht="14.25" customHeight="1">
      <c r="A29" s="40"/>
      <c r="B29" s="40"/>
      <c r="C29" s="41"/>
      <c r="D29" s="2"/>
    </row>
    <row r="30" spans="1:4" ht="15.75" customHeight="1">
      <c r="A30" s="88" t="s">
        <v>202</v>
      </c>
      <c r="B30" s="71"/>
      <c r="C30" s="71"/>
      <c r="D30" s="72"/>
    </row>
    <row r="31" spans="1:4" ht="15.75" customHeight="1">
      <c r="A31" s="42" t="s">
        <v>180</v>
      </c>
      <c r="B31" s="42" t="s">
        <v>181</v>
      </c>
      <c r="C31" s="43" t="s">
        <v>182</v>
      </c>
      <c r="D31" s="43" t="s">
        <v>183</v>
      </c>
    </row>
    <row r="32" spans="1:4" ht="15.75" customHeight="1">
      <c r="A32" s="34">
        <v>1</v>
      </c>
      <c r="B32" s="35" t="s">
        <v>203</v>
      </c>
      <c r="C32" s="34" t="s">
        <v>185</v>
      </c>
      <c r="D32" s="34"/>
    </row>
    <row r="33" spans="1:4" ht="15.75" customHeight="1">
      <c r="A33" s="34">
        <v>2</v>
      </c>
      <c r="B33" s="35" t="s">
        <v>204</v>
      </c>
      <c r="C33" s="34" t="s">
        <v>185</v>
      </c>
      <c r="D33" s="34"/>
    </row>
    <row r="34" spans="1:4" ht="15.75" customHeight="1">
      <c r="A34" s="34">
        <v>3</v>
      </c>
      <c r="B34" s="35" t="s">
        <v>205</v>
      </c>
      <c r="C34" s="36" t="s">
        <v>185</v>
      </c>
      <c r="D34" s="34"/>
    </row>
    <row r="35" spans="1:4" ht="15.75" customHeight="1">
      <c r="A35" s="86" t="s">
        <v>194</v>
      </c>
      <c r="B35" s="72"/>
      <c r="C35" s="38">
        <f>COUNTA('MODELO LISTA DE COMPROBACION 1'!$C$32:$C$34)</f>
        <v>3</v>
      </c>
      <c r="D35" s="38">
        <f>COUNTA('MODELO LISTA DE COMPROBACION 1'!$D$32:$D$34)</f>
        <v>0</v>
      </c>
    </row>
    <row r="36" spans="1:4" ht="15.75" customHeight="1">
      <c r="A36" s="86" t="s">
        <v>195</v>
      </c>
      <c r="B36" s="72"/>
      <c r="C36" s="39">
        <f t="shared" ref="C36:D36" si="2">C35/3</f>
        <v>1</v>
      </c>
      <c r="D36" s="39">
        <f t="shared" si="2"/>
        <v>0</v>
      </c>
    </row>
    <row r="37" spans="1:4" ht="14.25" customHeight="1"/>
    <row r="38" spans="1:4" ht="14.25" customHeight="1"/>
    <row r="39" spans="1:4" ht="14.25" customHeight="1"/>
    <row r="40" spans="1:4" ht="14.25" customHeight="1">
      <c r="B40" s="87" t="s">
        <v>206</v>
      </c>
      <c r="C40" s="72"/>
    </row>
    <row r="41" spans="1:4" ht="30" customHeight="1">
      <c r="B41" s="44" t="s">
        <v>207</v>
      </c>
      <c r="C41" s="45">
        <v>89</v>
      </c>
    </row>
    <row r="42" spans="1:4" ht="30" customHeight="1">
      <c r="B42" s="44" t="s">
        <v>196</v>
      </c>
      <c r="C42" s="38">
        <v>100</v>
      </c>
    </row>
    <row r="43" spans="1:4" ht="30" customHeight="1">
      <c r="B43" s="44" t="s">
        <v>202</v>
      </c>
      <c r="C43" s="45">
        <v>100</v>
      </c>
    </row>
    <row r="44" spans="1:4" ht="14.25" customHeight="1">
      <c r="C44" s="2"/>
    </row>
    <row r="45" spans="1:4" ht="14.25" customHeight="1">
      <c r="C45" s="2"/>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cfRule type="containsText" dxfId="63" priority="1" operator="containsText" text="X">
      <formula>NOT(ISERROR(SEARCH(("X"),(A32))))</formula>
    </cfRule>
  </conditionalFormatting>
  <conditionalFormatting sqref="C8:D16 C22:C26 C32:D34">
    <cfRule type="containsText" dxfId="62" priority="2" operator="containsText" text="X">
      <formula>NOT(ISERROR(SEARCH(("X"),(C8))))</formula>
    </cfRule>
  </conditionalFormatting>
  <conditionalFormatting sqref="C8:D16 C22:C26 C32:D34">
    <cfRule type="containsText" dxfId="61" priority="3" operator="containsText" text="X">
      <formula>NOT(ISERROR(SEARCH(("X"),(C8))))</formula>
    </cfRule>
  </conditionalFormatting>
  <conditionalFormatting sqref="C8:D16 C22:C26 C32:D34">
    <cfRule type="containsText" dxfId="60" priority="4" operator="containsText" text="X">
      <formula>NOT(ISERROR(SEARCH(("X"),(C8))))</formula>
    </cfRule>
  </conditionalFormatting>
  <conditionalFormatting sqref="C22:D26">
    <cfRule type="containsText" dxfId="59" priority="5" operator="containsText" text="X">
      <formula>NOT(ISERROR(SEARCH(("X"),(C22))))</formula>
    </cfRule>
  </conditionalFormatting>
  <conditionalFormatting sqref="C22:D26">
    <cfRule type="containsText" dxfId="58" priority="6" operator="containsText" text="X">
      <formula>NOT(ISERROR(SEARCH(("X"),(C22))))</formula>
    </cfRule>
  </conditionalFormatting>
  <conditionalFormatting sqref="C8:D16 C22:C26 C32:D34">
    <cfRule type="containsText" dxfId="57" priority="7" operator="containsText" text="X">
      <formula>NOT(ISERROR(SEARCH(("X"),(C8))))</formula>
    </cfRule>
  </conditionalFormatting>
  <conditionalFormatting sqref="C32:D34">
    <cfRule type="containsText" dxfId="56"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70" zoomScaleNormal="70" workbookViewId="0">
      <selection activeCell="G10" sqref="G10"/>
    </sheetView>
  </sheetViews>
  <sheetFormatPr baseColWidth="10" defaultColWidth="14.44140625" defaultRowHeight="15" customHeight="1"/>
  <cols>
    <col min="1" max="1" width="10.6640625" customWidth="1"/>
    <col min="2" max="2" width="36.6640625" customWidth="1"/>
    <col min="3" max="3" width="16.109375" customWidth="1"/>
    <col min="4" max="4" width="39.6640625"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24" width="10.6640625" customWidth="1"/>
  </cols>
  <sheetData>
    <row r="1" spans="1:26" ht="18">
      <c r="A1" s="81" t="s">
        <v>1</v>
      </c>
      <c r="B1" s="72"/>
      <c r="C1" s="82" t="s">
        <v>2</v>
      </c>
      <c r="D1" s="72"/>
      <c r="E1" s="32"/>
      <c r="J1" s="32"/>
      <c r="O1" s="32"/>
      <c r="P1" s="32"/>
      <c r="Q1" s="32"/>
      <c r="R1" s="32"/>
      <c r="S1" s="32"/>
      <c r="T1" s="32"/>
      <c r="U1" s="32"/>
      <c r="V1" s="32"/>
      <c r="W1" s="32"/>
      <c r="X1" s="32"/>
      <c r="Y1" s="32"/>
      <c r="Z1" s="32"/>
    </row>
    <row r="2" spans="1:26" ht="18">
      <c r="A2" s="83" t="s">
        <v>175</v>
      </c>
      <c r="B2" s="72"/>
      <c r="C2" s="84">
        <v>46159</v>
      </c>
      <c r="D2" s="72"/>
    </row>
    <row r="3" spans="1:26" ht="18">
      <c r="A3" s="83" t="s">
        <v>176</v>
      </c>
      <c r="B3" s="72"/>
      <c r="C3" s="85" t="s">
        <v>177</v>
      </c>
      <c r="D3" s="72"/>
    </row>
    <row r="4" spans="1:26" ht="18">
      <c r="A4" s="83" t="s">
        <v>178</v>
      </c>
      <c r="B4" s="72"/>
      <c r="C4" s="85" t="s">
        <v>8</v>
      </c>
      <c r="D4" s="72"/>
    </row>
    <row r="5" spans="1:26" ht="14.25" customHeight="1"/>
    <row r="6" spans="1:26" ht="23.4">
      <c r="A6" s="88" t="s">
        <v>179</v>
      </c>
      <c r="B6" s="71"/>
      <c r="C6" s="71"/>
      <c r="D6" s="72"/>
    </row>
    <row r="7" spans="1:26" ht="18">
      <c r="A7" s="33" t="s">
        <v>180</v>
      </c>
      <c r="B7" s="33" t="s">
        <v>181</v>
      </c>
      <c r="C7" s="33" t="s">
        <v>182</v>
      </c>
      <c r="D7" s="33" t="s">
        <v>183</v>
      </c>
    </row>
    <row r="8" spans="1:26" ht="28.8">
      <c r="A8" s="34">
        <v>1</v>
      </c>
      <c r="B8" s="35" t="s">
        <v>184</v>
      </c>
      <c r="C8" s="34" t="s">
        <v>185</v>
      </c>
      <c r="D8" s="34"/>
    </row>
    <row r="9" spans="1:26" ht="28.8">
      <c r="A9" s="34">
        <v>2</v>
      </c>
      <c r="B9" s="35" t="s">
        <v>186</v>
      </c>
      <c r="C9" s="34" t="s">
        <v>185</v>
      </c>
      <c r="D9" s="34"/>
    </row>
    <row r="10" spans="1:26" ht="57.6">
      <c r="A10" s="34">
        <v>3</v>
      </c>
      <c r="B10" s="35" t="s">
        <v>187</v>
      </c>
      <c r="C10" s="46" t="s">
        <v>185</v>
      </c>
      <c r="D10" s="36"/>
    </row>
    <row r="11" spans="1:26" ht="28.8">
      <c r="A11" s="34">
        <v>4</v>
      </c>
      <c r="B11" s="35" t="s">
        <v>188</v>
      </c>
      <c r="C11" s="34" t="s">
        <v>185</v>
      </c>
      <c r="D11" s="34"/>
    </row>
    <row r="12" spans="1:26" ht="28.8">
      <c r="A12" s="34">
        <v>5</v>
      </c>
      <c r="B12" s="35" t="s">
        <v>189</v>
      </c>
      <c r="C12" s="34" t="s">
        <v>185</v>
      </c>
      <c r="D12" s="34"/>
    </row>
    <row r="13" spans="1:26" ht="28.8">
      <c r="A13" s="34">
        <v>6</v>
      </c>
      <c r="B13" s="35" t="s">
        <v>190</v>
      </c>
      <c r="C13" s="34" t="s">
        <v>185</v>
      </c>
      <c r="D13" s="34"/>
    </row>
    <row r="14" spans="1:26" ht="28.8">
      <c r="A14" s="34">
        <v>7</v>
      </c>
      <c r="B14" s="35" t="s">
        <v>191</v>
      </c>
      <c r="C14" s="34" t="s">
        <v>185</v>
      </c>
      <c r="D14" s="34"/>
    </row>
    <row r="15" spans="1:26" ht="43.2">
      <c r="A15" s="34">
        <v>8</v>
      </c>
      <c r="B15" s="35" t="s">
        <v>192</v>
      </c>
      <c r="C15" s="34" t="s">
        <v>185</v>
      </c>
      <c r="D15" s="34"/>
    </row>
    <row r="16" spans="1:26" ht="57.6">
      <c r="A16" s="34">
        <v>9</v>
      </c>
      <c r="B16" s="35" t="s">
        <v>193</v>
      </c>
      <c r="C16" s="34" t="s">
        <v>185</v>
      </c>
      <c r="D16" s="34"/>
    </row>
    <row r="17" spans="1:4" ht="18">
      <c r="A17" s="86" t="s">
        <v>194</v>
      </c>
      <c r="B17" s="72"/>
      <c r="C17" s="38">
        <f>COUNTA('MODELO LISTA DE COMPROBACION 2'!$C$8:$C$16)</f>
        <v>9</v>
      </c>
      <c r="D17" s="38">
        <f>COUNTA('MODELO LISTA DE COMPROBACION 2'!$D$8:$D$16)</f>
        <v>0</v>
      </c>
    </row>
    <row r="18" spans="1:4" ht="18">
      <c r="A18" s="86" t="s">
        <v>195</v>
      </c>
      <c r="B18" s="72"/>
      <c r="C18" s="39">
        <f t="shared" ref="C18:D18" si="0">C17/9</f>
        <v>1</v>
      </c>
      <c r="D18" s="39">
        <f t="shared" si="0"/>
        <v>0</v>
      </c>
    </row>
    <row r="19" spans="1:4" ht="14.25" customHeight="1">
      <c r="A19" s="40"/>
      <c r="B19" s="40"/>
      <c r="C19" s="41"/>
      <c r="D19" s="2"/>
    </row>
    <row r="20" spans="1:4" ht="23.4">
      <c r="A20" s="88" t="s">
        <v>196</v>
      </c>
      <c r="B20" s="71"/>
      <c r="C20" s="71"/>
      <c r="D20" s="72"/>
    </row>
    <row r="21" spans="1:4" ht="15.75" customHeight="1">
      <c r="A21" s="42" t="s">
        <v>180</v>
      </c>
      <c r="B21" s="42" t="s">
        <v>181</v>
      </c>
      <c r="C21" s="43" t="s">
        <v>182</v>
      </c>
      <c r="D21" s="43" t="s">
        <v>183</v>
      </c>
    </row>
    <row r="22" spans="1:4" ht="15.75" customHeight="1">
      <c r="A22" s="34">
        <v>1</v>
      </c>
      <c r="B22" s="35" t="s">
        <v>197</v>
      </c>
      <c r="C22" s="34" t="s">
        <v>185</v>
      </c>
      <c r="D22" s="34"/>
    </row>
    <row r="23" spans="1:4" ht="15.75" customHeight="1">
      <c r="A23" s="34">
        <v>2</v>
      </c>
      <c r="B23" s="35" t="s">
        <v>198</v>
      </c>
      <c r="C23" s="34" t="s">
        <v>185</v>
      </c>
      <c r="D23" s="34"/>
    </row>
    <row r="24" spans="1:4" ht="15.75" customHeight="1">
      <c r="A24" s="34">
        <v>3</v>
      </c>
      <c r="B24" s="35" t="s">
        <v>199</v>
      </c>
      <c r="C24" s="34" t="s">
        <v>185</v>
      </c>
      <c r="D24" s="36"/>
    </row>
    <row r="25" spans="1:4" ht="15.75" customHeight="1">
      <c r="A25" s="34">
        <v>4</v>
      </c>
      <c r="B25" s="35" t="s">
        <v>200</v>
      </c>
      <c r="C25" s="34"/>
      <c r="D25" s="47" t="s">
        <v>185</v>
      </c>
    </row>
    <row r="26" spans="1:4" ht="15.75" customHeight="1">
      <c r="A26" s="34">
        <v>5</v>
      </c>
      <c r="B26" s="35" t="s">
        <v>201</v>
      </c>
      <c r="C26" s="34" t="s">
        <v>185</v>
      </c>
      <c r="D26" s="34"/>
    </row>
    <row r="27" spans="1:4" ht="15.75" customHeight="1">
      <c r="A27" s="86" t="s">
        <v>194</v>
      </c>
      <c r="B27" s="72"/>
      <c r="C27" s="45">
        <v>4</v>
      </c>
      <c r="D27" s="38">
        <v>1</v>
      </c>
    </row>
    <row r="28" spans="1:4" ht="15.75" customHeight="1">
      <c r="A28" s="86" t="s">
        <v>195</v>
      </c>
      <c r="B28" s="72"/>
      <c r="C28" s="39">
        <f t="shared" ref="C28:D28" si="1">C27/5</f>
        <v>0.8</v>
      </c>
      <c r="D28" s="39">
        <f t="shared" si="1"/>
        <v>0.2</v>
      </c>
    </row>
    <row r="29" spans="1:4" ht="14.25" customHeight="1">
      <c r="A29" s="40"/>
      <c r="B29" s="40"/>
      <c r="C29" s="41"/>
      <c r="D29" s="2"/>
    </row>
    <row r="30" spans="1:4" ht="15.75" customHeight="1">
      <c r="A30" s="88" t="s">
        <v>202</v>
      </c>
      <c r="B30" s="71"/>
      <c r="C30" s="71"/>
      <c r="D30" s="72"/>
    </row>
    <row r="31" spans="1:4" ht="15.75" customHeight="1">
      <c r="A31" s="42" t="s">
        <v>180</v>
      </c>
      <c r="B31" s="42" t="s">
        <v>181</v>
      </c>
      <c r="C31" s="43" t="s">
        <v>182</v>
      </c>
      <c r="D31" s="43" t="s">
        <v>183</v>
      </c>
    </row>
    <row r="32" spans="1:4" ht="15.75" customHeight="1">
      <c r="A32" s="34">
        <v>1</v>
      </c>
      <c r="B32" s="35" t="s">
        <v>203</v>
      </c>
      <c r="C32" s="34" t="s">
        <v>185</v>
      </c>
      <c r="D32" s="34"/>
    </row>
    <row r="33" spans="1:4" ht="15.75" customHeight="1">
      <c r="A33" s="34">
        <v>2</v>
      </c>
      <c r="B33" s="35" t="s">
        <v>204</v>
      </c>
      <c r="C33" s="34" t="s">
        <v>185</v>
      </c>
      <c r="D33" s="34"/>
    </row>
    <row r="34" spans="1:4" ht="15.75" customHeight="1">
      <c r="A34" s="34">
        <v>3</v>
      </c>
      <c r="B34" s="35" t="s">
        <v>205</v>
      </c>
      <c r="C34" s="36" t="s">
        <v>185</v>
      </c>
      <c r="D34" s="34"/>
    </row>
    <row r="35" spans="1:4" ht="15.75" customHeight="1">
      <c r="A35" s="86" t="s">
        <v>194</v>
      </c>
      <c r="B35" s="72"/>
      <c r="C35" s="45">
        <v>3</v>
      </c>
      <c r="D35" s="38">
        <v>1</v>
      </c>
    </row>
    <row r="36" spans="1:4" ht="15.75" customHeight="1">
      <c r="A36" s="86" t="s">
        <v>195</v>
      </c>
      <c r="B36" s="72"/>
      <c r="C36" s="39">
        <f t="shared" ref="C36:D36" si="2">C35/3</f>
        <v>1</v>
      </c>
      <c r="D36" s="39">
        <f t="shared" si="2"/>
        <v>0.33333333333333331</v>
      </c>
    </row>
    <row r="37" spans="1:4" ht="14.25" customHeight="1"/>
    <row r="38" spans="1:4" ht="14.25" customHeight="1"/>
    <row r="39" spans="1:4" ht="14.25" customHeight="1"/>
    <row r="40" spans="1:4" ht="14.25" customHeight="1">
      <c r="B40" s="87" t="s">
        <v>206</v>
      </c>
      <c r="C40" s="72"/>
      <c r="D40" s="48"/>
    </row>
    <row r="41" spans="1:4" ht="30" customHeight="1">
      <c r="B41" s="44" t="s">
        <v>207</v>
      </c>
      <c r="C41" s="45">
        <v>100</v>
      </c>
      <c r="D41" s="2"/>
    </row>
    <row r="42" spans="1:4" ht="30" customHeight="1">
      <c r="B42" s="44" t="s">
        <v>196</v>
      </c>
      <c r="C42" s="38">
        <v>80</v>
      </c>
      <c r="D42" s="2"/>
    </row>
    <row r="43" spans="1:4" ht="30" customHeight="1">
      <c r="B43" s="44" t="s">
        <v>202</v>
      </c>
      <c r="C43" s="45">
        <v>100</v>
      </c>
      <c r="D43" s="2"/>
    </row>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55" priority="1" operator="containsText" text="X">
      <formula>NOT(ISERROR(SEARCH(("X"),(A32))))</formula>
    </cfRule>
  </conditionalFormatting>
  <conditionalFormatting sqref="C22:C26 C32:D34 H8:I16 H22:H26 H32:I34 M8:N16 M22:M26 M32:N34 C8:D16">
    <cfRule type="containsText" dxfId="54" priority="2" operator="containsText" text="X">
      <formula>NOT(ISERROR(SEARCH(("X"),(C8))))</formula>
    </cfRule>
  </conditionalFormatting>
  <conditionalFormatting sqref="C22:C26 C32:D34 H8:I16 H22:H26 H32:I34 M8:N16 M22:M26 M32:N34 C8:D16">
    <cfRule type="containsText" dxfId="53" priority="3" operator="containsText" text="X">
      <formula>NOT(ISERROR(SEARCH(("X"),(C8))))</formula>
    </cfRule>
  </conditionalFormatting>
  <conditionalFormatting sqref="C22:C26 C32:D34 H8:I16 H22:H26 H32:I34 M8:N16 M22:M26 M32:N34 C8:D16">
    <cfRule type="containsText" dxfId="52" priority="4" operator="containsText" text="X">
      <formula>NOT(ISERROR(SEARCH(("X"),(C8))))</formula>
    </cfRule>
  </conditionalFormatting>
  <conditionalFormatting sqref="C22:D26 H22:I26 M22:N26">
    <cfRule type="containsText" dxfId="51" priority="5" operator="containsText" text="X">
      <formula>NOT(ISERROR(SEARCH(("X"),(C22))))</formula>
    </cfRule>
  </conditionalFormatting>
  <conditionalFormatting sqref="C22:D26 H22:I26 M22:N26">
    <cfRule type="containsText" dxfId="50" priority="6" operator="containsText" text="X">
      <formula>NOT(ISERROR(SEARCH(("X"),(C22))))</formula>
    </cfRule>
  </conditionalFormatting>
  <conditionalFormatting sqref="C22:C26 C32:D34 H8:I16 H22:H26 H32:I34 M8:N16 M22:M26 M32:N34 C8:D16">
    <cfRule type="containsText" dxfId="49" priority="7" operator="containsText" text="X">
      <formula>NOT(ISERROR(SEARCH(("X"),(C8))))</formula>
    </cfRule>
  </conditionalFormatting>
  <conditionalFormatting sqref="C32:D34 H32:I34 M32:N34">
    <cfRule type="containsText" dxfId="48"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70" zoomScaleNormal="70" workbookViewId="0">
      <selection sqref="A1:B1"/>
    </sheetView>
  </sheetViews>
  <sheetFormatPr baseColWidth="10" defaultColWidth="14.44140625" defaultRowHeight="15" customHeight="1"/>
  <cols>
    <col min="1" max="1" width="10.6640625" customWidth="1"/>
    <col min="2" max="2" width="36.6640625" customWidth="1"/>
    <col min="3" max="3" width="16.109375" customWidth="1"/>
    <col min="4" max="4" width="22"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24" width="10.6640625" customWidth="1"/>
  </cols>
  <sheetData>
    <row r="1" spans="1:26" ht="18">
      <c r="A1" s="81" t="s">
        <v>1</v>
      </c>
      <c r="B1" s="72"/>
      <c r="C1" s="82" t="s">
        <v>2</v>
      </c>
      <c r="D1" s="72"/>
      <c r="E1" s="32"/>
      <c r="O1" s="32"/>
      <c r="P1" s="32"/>
      <c r="Q1" s="32"/>
      <c r="R1" s="32"/>
      <c r="S1" s="32"/>
      <c r="T1" s="32"/>
      <c r="U1" s="32"/>
      <c r="V1" s="32"/>
      <c r="W1" s="32"/>
      <c r="X1" s="32"/>
      <c r="Y1" s="32"/>
      <c r="Z1" s="32"/>
    </row>
    <row r="2" spans="1:26" ht="18">
      <c r="A2" s="83" t="s">
        <v>175</v>
      </c>
      <c r="B2" s="72"/>
      <c r="C2" s="84">
        <v>46159</v>
      </c>
      <c r="D2" s="72"/>
    </row>
    <row r="3" spans="1:26" ht="18">
      <c r="A3" s="83" t="s">
        <v>176</v>
      </c>
      <c r="B3" s="72"/>
      <c r="C3" s="85" t="s">
        <v>177</v>
      </c>
      <c r="D3" s="72"/>
    </row>
    <row r="4" spans="1:26" ht="18">
      <c r="A4" s="83" t="s">
        <v>178</v>
      </c>
      <c r="B4" s="72"/>
      <c r="C4" s="85" t="s">
        <v>9</v>
      </c>
      <c r="D4" s="72"/>
    </row>
    <row r="5" spans="1:26" ht="14.25" customHeight="1"/>
    <row r="6" spans="1:26" ht="23.4">
      <c r="A6" s="88" t="s">
        <v>179</v>
      </c>
      <c r="B6" s="71"/>
      <c r="C6" s="71"/>
      <c r="D6" s="72"/>
    </row>
    <row r="7" spans="1:26" ht="18">
      <c r="A7" s="33" t="s">
        <v>180</v>
      </c>
      <c r="B7" s="33" t="s">
        <v>181</v>
      </c>
      <c r="C7" s="33" t="s">
        <v>182</v>
      </c>
      <c r="D7" s="33" t="s">
        <v>183</v>
      </c>
    </row>
    <row r="8" spans="1:26" ht="28.8">
      <c r="A8" s="34">
        <v>1</v>
      </c>
      <c r="B8" s="35" t="s">
        <v>184</v>
      </c>
      <c r="C8" s="34" t="s">
        <v>185</v>
      </c>
      <c r="D8" s="34"/>
    </row>
    <row r="9" spans="1:26" ht="28.8">
      <c r="A9" s="34">
        <v>2</v>
      </c>
      <c r="B9" s="35" t="s">
        <v>186</v>
      </c>
      <c r="C9" s="34" t="s">
        <v>185</v>
      </c>
      <c r="D9" s="34"/>
    </row>
    <row r="10" spans="1:26" ht="57.6">
      <c r="A10" s="34">
        <v>3</v>
      </c>
      <c r="B10" s="35" t="s">
        <v>187</v>
      </c>
      <c r="C10" s="34"/>
      <c r="D10" s="37" t="s">
        <v>185</v>
      </c>
    </row>
    <row r="11" spans="1:26" ht="28.8">
      <c r="A11" s="34">
        <v>4</v>
      </c>
      <c r="B11" s="35" t="s">
        <v>188</v>
      </c>
      <c r="C11" s="34" t="s">
        <v>185</v>
      </c>
      <c r="D11" s="34"/>
    </row>
    <row r="12" spans="1:26" ht="28.8">
      <c r="A12" s="34">
        <v>5</v>
      </c>
      <c r="B12" s="35" t="s">
        <v>189</v>
      </c>
      <c r="C12" s="34" t="s">
        <v>185</v>
      </c>
      <c r="D12" s="34"/>
    </row>
    <row r="13" spans="1:26" ht="28.8">
      <c r="A13" s="34">
        <v>6</v>
      </c>
      <c r="B13" s="35" t="s">
        <v>190</v>
      </c>
      <c r="C13" s="34" t="s">
        <v>185</v>
      </c>
      <c r="D13" s="34"/>
    </row>
    <row r="14" spans="1:26" ht="28.8">
      <c r="A14" s="34">
        <v>7</v>
      </c>
      <c r="B14" s="35" t="s">
        <v>191</v>
      </c>
      <c r="C14" s="34"/>
      <c r="D14" s="36" t="s">
        <v>185</v>
      </c>
    </row>
    <row r="15" spans="1:26" ht="43.2">
      <c r="A15" s="34">
        <v>8</v>
      </c>
      <c r="B15" s="35" t="s">
        <v>192</v>
      </c>
      <c r="C15" s="34" t="s">
        <v>185</v>
      </c>
      <c r="D15" s="34"/>
    </row>
    <row r="16" spans="1:26" ht="57.6">
      <c r="A16" s="34">
        <v>9</v>
      </c>
      <c r="B16" s="35" t="s">
        <v>193</v>
      </c>
      <c r="C16" s="34" t="s">
        <v>185</v>
      </c>
      <c r="D16" s="34"/>
    </row>
    <row r="17" spans="1:4" ht="18">
      <c r="A17" s="86" t="s">
        <v>194</v>
      </c>
      <c r="B17" s="72"/>
      <c r="C17" s="45">
        <v>7</v>
      </c>
      <c r="D17" s="45">
        <v>2</v>
      </c>
    </row>
    <row r="18" spans="1:4" ht="18">
      <c r="A18" s="86" t="s">
        <v>195</v>
      </c>
      <c r="B18" s="72"/>
      <c r="C18" s="39">
        <f t="shared" ref="C18:D18" si="0">C17/9</f>
        <v>0.77777777777777779</v>
      </c>
      <c r="D18" s="39">
        <f t="shared" si="0"/>
        <v>0.22222222222222221</v>
      </c>
    </row>
    <row r="19" spans="1:4" ht="14.25" customHeight="1">
      <c r="A19" s="40"/>
      <c r="B19" s="40"/>
      <c r="C19" s="41"/>
      <c r="D19" s="2"/>
    </row>
    <row r="20" spans="1:4" ht="23.4">
      <c r="A20" s="88" t="s">
        <v>196</v>
      </c>
      <c r="B20" s="71"/>
      <c r="C20" s="71"/>
      <c r="D20" s="72"/>
    </row>
    <row r="21" spans="1:4" ht="15.75" customHeight="1">
      <c r="A21" s="42" t="s">
        <v>180</v>
      </c>
      <c r="B21" s="42" t="s">
        <v>181</v>
      </c>
      <c r="C21" s="43" t="s">
        <v>182</v>
      </c>
      <c r="D21" s="43" t="s">
        <v>183</v>
      </c>
    </row>
    <row r="22" spans="1:4" ht="15.75" customHeight="1">
      <c r="A22" s="34">
        <v>1</v>
      </c>
      <c r="B22" s="35" t="s">
        <v>197</v>
      </c>
      <c r="C22" s="34" t="s">
        <v>185</v>
      </c>
      <c r="D22" s="34"/>
    </row>
    <row r="23" spans="1:4" ht="15.75" customHeight="1">
      <c r="A23" s="34">
        <v>2</v>
      </c>
      <c r="B23" s="35" t="s">
        <v>198</v>
      </c>
      <c r="C23" s="34" t="s">
        <v>185</v>
      </c>
      <c r="D23" s="34"/>
    </row>
    <row r="24" spans="1:4" ht="15.75" customHeight="1">
      <c r="A24" s="34">
        <v>3</v>
      </c>
      <c r="B24" s="35" t="s">
        <v>199</v>
      </c>
      <c r="C24" s="34" t="s">
        <v>185</v>
      </c>
      <c r="D24" s="34"/>
    </row>
    <row r="25" spans="1:4" ht="15.75" customHeight="1">
      <c r="A25" s="34">
        <v>4</v>
      </c>
      <c r="B25" s="35" t="s">
        <v>200</v>
      </c>
      <c r="C25" s="34"/>
      <c r="D25" s="36" t="s">
        <v>185</v>
      </c>
    </row>
    <row r="26" spans="1:4" ht="15.75" customHeight="1">
      <c r="A26" s="34">
        <v>5</v>
      </c>
      <c r="B26" s="35" t="s">
        <v>201</v>
      </c>
      <c r="C26" s="34" t="s">
        <v>185</v>
      </c>
      <c r="D26" s="34"/>
    </row>
    <row r="27" spans="1:4" ht="15.75" customHeight="1">
      <c r="A27" s="86" t="s">
        <v>194</v>
      </c>
      <c r="B27" s="72"/>
      <c r="C27" s="45">
        <v>4</v>
      </c>
      <c r="D27" s="45">
        <v>1</v>
      </c>
    </row>
    <row r="28" spans="1:4" ht="15.75" customHeight="1">
      <c r="A28" s="86" t="s">
        <v>195</v>
      </c>
      <c r="B28" s="72"/>
      <c r="C28" s="39">
        <f t="shared" ref="C28:D28" si="1">C27/5</f>
        <v>0.8</v>
      </c>
      <c r="D28" s="39">
        <f t="shared" si="1"/>
        <v>0.2</v>
      </c>
    </row>
    <row r="29" spans="1:4" ht="14.25" customHeight="1">
      <c r="A29" s="40"/>
      <c r="B29" s="40"/>
      <c r="C29" s="41"/>
      <c r="D29" s="2"/>
    </row>
    <row r="30" spans="1:4" ht="15.75" customHeight="1">
      <c r="A30" s="88" t="s">
        <v>202</v>
      </c>
      <c r="B30" s="71"/>
      <c r="C30" s="71"/>
      <c r="D30" s="72"/>
    </row>
    <row r="31" spans="1:4" ht="15.75" customHeight="1">
      <c r="A31" s="42" t="s">
        <v>180</v>
      </c>
      <c r="B31" s="42" t="s">
        <v>181</v>
      </c>
      <c r="C31" s="43" t="s">
        <v>182</v>
      </c>
      <c r="D31" s="43" t="s">
        <v>183</v>
      </c>
    </row>
    <row r="32" spans="1:4" ht="15.75" customHeight="1">
      <c r="A32" s="34">
        <v>1</v>
      </c>
      <c r="B32" s="35" t="s">
        <v>203</v>
      </c>
      <c r="C32" s="34" t="s">
        <v>185</v>
      </c>
      <c r="D32" s="34"/>
    </row>
    <row r="33" spans="1:4" ht="15.75" customHeight="1">
      <c r="A33" s="34">
        <v>2</v>
      </c>
      <c r="B33" s="35" t="s">
        <v>204</v>
      </c>
      <c r="C33" s="34" t="s">
        <v>185</v>
      </c>
      <c r="D33" s="34"/>
    </row>
    <row r="34" spans="1:4" ht="15.75" customHeight="1">
      <c r="A34" s="34">
        <v>3</v>
      </c>
      <c r="B34" s="35" t="s">
        <v>205</v>
      </c>
      <c r="C34" s="34" t="s">
        <v>185</v>
      </c>
      <c r="D34" s="34"/>
    </row>
    <row r="35" spans="1:4" ht="15.75" customHeight="1">
      <c r="A35" s="86" t="s">
        <v>194</v>
      </c>
      <c r="B35" s="72"/>
      <c r="C35" s="38">
        <v>3</v>
      </c>
      <c r="D35" s="38">
        <v>0</v>
      </c>
    </row>
    <row r="36" spans="1:4" ht="15.75" customHeight="1">
      <c r="A36" s="86" t="s">
        <v>195</v>
      </c>
      <c r="B36" s="72"/>
      <c r="C36" s="39">
        <f t="shared" ref="C36:D36" si="2">C35/3</f>
        <v>1</v>
      </c>
      <c r="D36" s="39">
        <f t="shared" si="2"/>
        <v>0</v>
      </c>
    </row>
    <row r="37" spans="1:4" ht="14.25" customHeight="1"/>
    <row r="38" spans="1:4" ht="14.25" customHeight="1"/>
    <row r="39" spans="1:4" ht="14.25" customHeight="1"/>
    <row r="40" spans="1:4" ht="14.25" customHeight="1">
      <c r="B40" s="87" t="s">
        <v>206</v>
      </c>
      <c r="C40" s="72"/>
      <c r="D40" s="48"/>
    </row>
    <row r="41" spans="1:4" ht="30" customHeight="1">
      <c r="B41" s="44" t="s">
        <v>207</v>
      </c>
      <c r="C41" s="45">
        <v>78</v>
      </c>
      <c r="D41" s="2"/>
    </row>
    <row r="42" spans="1:4" ht="30" customHeight="1">
      <c r="B42" s="44" t="s">
        <v>196</v>
      </c>
      <c r="C42" s="45">
        <v>80</v>
      </c>
      <c r="D42" s="2"/>
    </row>
    <row r="43" spans="1:4" ht="30" customHeight="1">
      <c r="B43" s="44" t="s">
        <v>202</v>
      </c>
      <c r="C43" s="38">
        <v>100</v>
      </c>
      <c r="D43" s="2"/>
    </row>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47" priority="1" operator="containsText" text="X">
      <formula>NOT(ISERROR(SEARCH(("X"),(A32))))</formula>
    </cfRule>
  </conditionalFormatting>
  <conditionalFormatting sqref="C8:D16 C22:C26 C32:D34 H8:I16 H22:H26 H32:I34 M8:N16 M22:M26 M32:N34">
    <cfRule type="containsText" dxfId="46" priority="2" operator="containsText" text="X">
      <formula>NOT(ISERROR(SEARCH(("X"),(C8))))</formula>
    </cfRule>
  </conditionalFormatting>
  <conditionalFormatting sqref="C8:D16 C22:C26 C32:D34 H8:I16 H22:H26 H32:I34 M8:N16 M22:M26 M32:N34">
    <cfRule type="containsText" dxfId="45" priority="3" operator="containsText" text="X">
      <formula>NOT(ISERROR(SEARCH(("X"),(C8))))</formula>
    </cfRule>
  </conditionalFormatting>
  <conditionalFormatting sqref="C8:D16 C22:C26 C32:D34 H8:I16 H22:H26 H32:I34 M8:N16 M22:M26 M32:N34">
    <cfRule type="containsText" dxfId="44" priority="4" operator="containsText" text="X">
      <formula>NOT(ISERROR(SEARCH(("X"),(C8))))</formula>
    </cfRule>
  </conditionalFormatting>
  <conditionalFormatting sqref="C22:D26 H22:I26 M22:N26">
    <cfRule type="containsText" dxfId="43" priority="5" operator="containsText" text="X">
      <formula>NOT(ISERROR(SEARCH(("X"),(C22))))</formula>
    </cfRule>
  </conditionalFormatting>
  <conditionalFormatting sqref="C22:D26 H22:I26 M22:N26">
    <cfRule type="containsText" dxfId="42" priority="6" operator="containsText" text="X">
      <formula>NOT(ISERROR(SEARCH(("X"),(C22))))</formula>
    </cfRule>
  </conditionalFormatting>
  <conditionalFormatting sqref="C8:D16 C22:C26 C32:D34 H8:I16 H22:H26 H32:I34 M8:N16 M22:M26 M32:N34">
    <cfRule type="containsText" dxfId="41" priority="7" operator="containsText" text="X">
      <formula>NOT(ISERROR(SEARCH(("X"),(C8))))</formula>
    </cfRule>
  </conditionalFormatting>
  <conditionalFormatting sqref="C32:D34 H32:I34 M32:N34">
    <cfRule type="containsText" dxfId="40"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80" zoomScaleNormal="80" workbookViewId="0">
      <selection activeCell="G10" sqref="G10"/>
    </sheetView>
  </sheetViews>
  <sheetFormatPr baseColWidth="10" defaultColWidth="14.44140625" defaultRowHeight="15" customHeight="1"/>
  <cols>
    <col min="1" max="1" width="10.6640625" customWidth="1"/>
    <col min="2" max="2" width="36.6640625" customWidth="1"/>
    <col min="3" max="3" width="16.109375" customWidth="1"/>
    <col min="4" max="4" width="22"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24" width="10.6640625" customWidth="1"/>
  </cols>
  <sheetData>
    <row r="1" spans="1:26" ht="18">
      <c r="A1" s="81" t="s">
        <v>1</v>
      </c>
      <c r="B1" s="72"/>
      <c r="C1" s="82" t="s">
        <v>2</v>
      </c>
      <c r="D1" s="72"/>
      <c r="E1" s="32"/>
      <c r="F1" s="2"/>
      <c r="G1" s="2"/>
      <c r="H1" s="2"/>
      <c r="I1" s="2"/>
      <c r="J1" s="2"/>
      <c r="K1" s="2"/>
      <c r="L1" s="2"/>
      <c r="M1" s="2"/>
      <c r="N1" s="2"/>
      <c r="O1" s="32"/>
      <c r="P1" s="32"/>
      <c r="Q1" s="32"/>
      <c r="R1" s="32"/>
      <c r="S1" s="32"/>
      <c r="T1" s="32"/>
      <c r="U1" s="32"/>
      <c r="V1" s="32"/>
      <c r="W1" s="32"/>
      <c r="X1" s="32"/>
      <c r="Y1" s="32"/>
      <c r="Z1" s="32"/>
    </row>
    <row r="2" spans="1:26" ht="18">
      <c r="A2" s="83" t="s">
        <v>175</v>
      </c>
      <c r="B2" s="72"/>
      <c r="C2" s="84">
        <v>46160</v>
      </c>
      <c r="D2" s="72"/>
      <c r="E2" s="2"/>
      <c r="F2" s="2"/>
      <c r="G2" s="2"/>
      <c r="H2" s="2"/>
      <c r="I2" s="2"/>
      <c r="J2" s="2"/>
      <c r="K2" s="2"/>
      <c r="L2" s="2"/>
      <c r="M2" s="2"/>
      <c r="N2" s="2"/>
      <c r="O2" s="2"/>
      <c r="P2" s="2"/>
      <c r="Q2" s="2"/>
      <c r="R2" s="2"/>
      <c r="S2" s="2"/>
      <c r="T2" s="2"/>
      <c r="U2" s="2"/>
      <c r="V2" s="2"/>
      <c r="W2" s="2"/>
      <c r="X2" s="2"/>
      <c r="Y2" s="2"/>
      <c r="Z2" s="2"/>
    </row>
    <row r="3" spans="1:26" ht="18">
      <c r="A3" s="83" t="s">
        <v>176</v>
      </c>
      <c r="B3" s="72"/>
      <c r="C3" s="85" t="s">
        <v>177</v>
      </c>
      <c r="D3" s="72"/>
      <c r="E3" s="2"/>
      <c r="F3" s="2"/>
      <c r="G3" s="2"/>
      <c r="H3" s="2"/>
      <c r="I3" s="2"/>
      <c r="J3" s="2"/>
      <c r="K3" s="2"/>
      <c r="L3" s="2"/>
      <c r="M3" s="2"/>
      <c r="N3" s="2"/>
      <c r="O3" s="2"/>
      <c r="P3" s="2"/>
      <c r="Q3" s="2"/>
      <c r="R3" s="2"/>
      <c r="S3" s="2"/>
      <c r="T3" s="2"/>
      <c r="U3" s="2"/>
      <c r="V3" s="2"/>
      <c r="W3" s="2"/>
      <c r="X3" s="2"/>
      <c r="Y3" s="2"/>
      <c r="Z3" s="2"/>
    </row>
    <row r="4" spans="1:26" ht="36" customHeight="1">
      <c r="A4" s="83" t="s">
        <v>178</v>
      </c>
      <c r="B4" s="72"/>
      <c r="C4" s="85" t="s">
        <v>208</v>
      </c>
      <c r="D4" s="72"/>
      <c r="E4" s="2"/>
      <c r="F4" s="2"/>
      <c r="G4" s="2"/>
      <c r="H4" s="2"/>
      <c r="I4" s="2"/>
      <c r="J4" s="2"/>
      <c r="K4" s="2"/>
      <c r="L4" s="2"/>
      <c r="M4" s="2"/>
      <c r="N4" s="2"/>
      <c r="O4" s="2"/>
      <c r="P4" s="2"/>
      <c r="Q4" s="2"/>
      <c r="R4" s="2"/>
      <c r="S4" s="2"/>
      <c r="T4" s="2"/>
      <c r="U4" s="2"/>
      <c r="V4" s="2"/>
      <c r="W4" s="2"/>
      <c r="X4" s="2"/>
      <c r="Y4" s="2"/>
      <c r="Z4" s="2"/>
    </row>
    <row r="5" spans="1:26" ht="14.25" customHeight="1">
      <c r="A5" s="2"/>
      <c r="B5" s="2"/>
      <c r="C5" s="2"/>
      <c r="D5" s="2"/>
      <c r="E5" s="2"/>
      <c r="F5" s="2"/>
      <c r="G5" s="2"/>
      <c r="H5" s="2"/>
      <c r="I5" s="2"/>
      <c r="J5" s="2"/>
      <c r="K5" s="2"/>
      <c r="L5" s="2"/>
      <c r="M5" s="2"/>
      <c r="N5" s="2"/>
      <c r="O5" s="2"/>
      <c r="P5" s="2"/>
      <c r="Q5" s="2"/>
      <c r="R5" s="2"/>
      <c r="S5" s="2"/>
      <c r="T5" s="2"/>
      <c r="U5" s="2"/>
      <c r="V5" s="2"/>
      <c r="W5" s="2"/>
      <c r="X5" s="2"/>
      <c r="Y5" s="2"/>
      <c r="Z5" s="2"/>
    </row>
    <row r="6" spans="1:26" ht="23.4">
      <c r="A6" s="88" t="s">
        <v>179</v>
      </c>
      <c r="B6" s="71"/>
      <c r="C6" s="71"/>
      <c r="D6" s="72"/>
      <c r="E6" s="2"/>
      <c r="F6" s="2"/>
      <c r="G6" s="2"/>
      <c r="H6" s="2"/>
      <c r="I6" s="2"/>
      <c r="J6" s="2"/>
      <c r="K6" s="2"/>
      <c r="L6" s="2"/>
      <c r="M6" s="2"/>
      <c r="N6" s="2"/>
      <c r="O6" s="2"/>
      <c r="P6" s="2"/>
      <c r="Q6" s="2"/>
      <c r="R6" s="2"/>
      <c r="S6" s="2"/>
      <c r="T6" s="2"/>
      <c r="U6" s="2"/>
      <c r="V6" s="2"/>
      <c r="W6" s="2"/>
      <c r="X6" s="2"/>
      <c r="Y6" s="2"/>
      <c r="Z6" s="2"/>
    </row>
    <row r="7" spans="1:26" ht="18">
      <c r="A7" s="33" t="s">
        <v>180</v>
      </c>
      <c r="B7" s="33" t="s">
        <v>181</v>
      </c>
      <c r="C7" s="33" t="s">
        <v>182</v>
      </c>
      <c r="D7" s="33" t="s">
        <v>183</v>
      </c>
      <c r="E7" s="2"/>
      <c r="F7" s="2"/>
      <c r="G7" s="2"/>
      <c r="H7" s="2"/>
      <c r="I7" s="2"/>
      <c r="J7" s="2"/>
      <c r="K7" s="2"/>
      <c r="L7" s="2"/>
      <c r="M7" s="2"/>
      <c r="N7" s="2"/>
      <c r="O7" s="2"/>
      <c r="P7" s="2"/>
      <c r="Q7" s="2"/>
      <c r="R7" s="2"/>
      <c r="S7" s="2"/>
      <c r="T7" s="2"/>
      <c r="U7" s="2"/>
      <c r="V7" s="2"/>
      <c r="W7" s="2"/>
      <c r="X7" s="2"/>
      <c r="Y7" s="2"/>
      <c r="Z7" s="2"/>
    </row>
    <row r="8" spans="1:26" ht="28.8">
      <c r="A8" s="34">
        <v>1</v>
      </c>
      <c r="B8" s="35" t="s">
        <v>184</v>
      </c>
      <c r="C8" s="34" t="s">
        <v>185</v>
      </c>
      <c r="D8" s="34"/>
      <c r="E8" s="2"/>
      <c r="F8" s="2"/>
      <c r="G8" s="2"/>
      <c r="H8" s="2"/>
      <c r="I8" s="2"/>
      <c r="J8" s="2"/>
      <c r="K8" s="2"/>
      <c r="L8" s="2"/>
      <c r="M8" s="2"/>
      <c r="N8" s="2"/>
      <c r="O8" s="2"/>
      <c r="P8" s="2"/>
      <c r="Q8" s="2"/>
      <c r="R8" s="2"/>
      <c r="S8" s="2"/>
      <c r="T8" s="2"/>
      <c r="U8" s="2"/>
      <c r="V8" s="2"/>
      <c r="W8" s="2"/>
      <c r="X8" s="2"/>
      <c r="Y8" s="2"/>
      <c r="Z8" s="2"/>
    </row>
    <row r="9" spans="1:26" ht="28.8">
      <c r="A9" s="34">
        <v>2</v>
      </c>
      <c r="B9" s="35" t="s">
        <v>186</v>
      </c>
      <c r="C9" s="34" t="s">
        <v>185</v>
      </c>
      <c r="D9" s="34"/>
      <c r="E9" s="2"/>
      <c r="F9" s="2"/>
      <c r="G9" s="2"/>
      <c r="H9" s="2"/>
      <c r="I9" s="2"/>
      <c r="J9" s="2"/>
      <c r="K9" s="2"/>
      <c r="L9" s="2"/>
      <c r="M9" s="2"/>
      <c r="N9" s="2"/>
      <c r="O9" s="2"/>
      <c r="P9" s="2"/>
      <c r="Q9" s="2"/>
      <c r="R9" s="2"/>
      <c r="S9" s="2"/>
      <c r="T9" s="2"/>
      <c r="U9" s="2"/>
      <c r="V9" s="2"/>
      <c r="W9" s="2"/>
      <c r="X9" s="2"/>
      <c r="Y9" s="2"/>
      <c r="Z9" s="2"/>
    </row>
    <row r="10" spans="1:26" ht="57.6">
      <c r="A10" s="34">
        <v>3</v>
      </c>
      <c r="B10" s="35" t="s">
        <v>187</v>
      </c>
      <c r="C10" s="34"/>
      <c r="D10" s="37" t="s">
        <v>185</v>
      </c>
      <c r="E10" s="2"/>
      <c r="F10" s="2"/>
      <c r="G10" s="2"/>
      <c r="H10" s="2"/>
      <c r="I10" s="2"/>
      <c r="J10" s="2"/>
      <c r="K10" s="2"/>
      <c r="L10" s="2"/>
      <c r="M10" s="2"/>
      <c r="N10" s="2"/>
      <c r="O10" s="2"/>
      <c r="P10" s="2"/>
      <c r="Q10" s="2"/>
      <c r="R10" s="2"/>
      <c r="S10" s="2"/>
      <c r="T10" s="2"/>
      <c r="U10" s="2"/>
      <c r="V10" s="2"/>
      <c r="W10" s="2"/>
      <c r="X10" s="2"/>
      <c r="Y10" s="2"/>
      <c r="Z10" s="2"/>
    </row>
    <row r="11" spans="1:26" ht="28.8">
      <c r="A11" s="34">
        <v>4</v>
      </c>
      <c r="B11" s="35" t="s">
        <v>188</v>
      </c>
      <c r="C11" s="34" t="s">
        <v>185</v>
      </c>
      <c r="D11" s="34"/>
      <c r="E11" s="2"/>
      <c r="F11" s="2"/>
      <c r="G11" s="2"/>
      <c r="H11" s="2"/>
      <c r="I11" s="2"/>
      <c r="J11" s="2"/>
      <c r="K11" s="2"/>
      <c r="L11" s="2"/>
      <c r="M11" s="2"/>
      <c r="N11" s="2"/>
      <c r="O11" s="2"/>
      <c r="P11" s="2"/>
      <c r="Q11" s="2"/>
      <c r="R11" s="2"/>
      <c r="S11" s="2"/>
      <c r="T11" s="2"/>
      <c r="U11" s="2"/>
      <c r="V11" s="2"/>
      <c r="W11" s="2"/>
      <c r="X11" s="2"/>
      <c r="Y11" s="2"/>
      <c r="Z11" s="2"/>
    </row>
    <row r="12" spans="1:26" ht="28.8">
      <c r="A12" s="34">
        <v>5</v>
      </c>
      <c r="B12" s="35" t="s">
        <v>189</v>
      </c>
      <c r="C12" s="34" t="s">
        <v>185</v>
      </c>
      <c r="D12" s="34"/>
      <c r="E12" s="2"/>
      <c r="F12" s="2"/>
      <c r="G12" s="2"/>
      <c r="H12" s="2"/>
      <c r="I12" s="2"/>
      <c r="J12" s="2"/>
      <c r="K12" s="2"/>
      <c r="L12" s="2"/>
      <c r="M12" s="2"/>
      <c r="N12" s="2"/>
      <c r="O12" s="2"/>
      <c r="P12" s="2"/>
      <c r="Q12" s="2"/>
      <c r="R12" s="2"/>
      <c r="S12" s="2"/>
      <c r="T12" s="2"/>
      <c r="U12" s="2"/>
      <c r="V12" s="2"/>
      <c r="W12" s="2"/>
      <c r="X12" s="2"/>
      <c r="Y12" s="2"/>
      <c r="Z12" s="2"/>
    </row>
    <row r="13" spans="1:26" ht="28.8">
      <c r="A13" s="34">
        <v>6</v>
      </c>
      <c r="B13" s="35" t="s">
        <v>190</v>
      </c>
      <c r="C13" s="34" t="s">
        <v>185</v>
      </c>
      <c r="D13" s="34"/>
      <c r="E13" s="2"/>
      <c r="F13" s="2"/>
      <c r="G13" s="2"/>
      <c r="H13" s="2"/>
      <c r="I13" s="2"/>
      <c r="J13" s="2"/>
      <c r="K13" s="2"/>
      <c r="L13" s="2"/>
      <c r="M13" s="2"/>
      <c r="N13" s="2"/>
      <c r="O13" s="2"/>
      <c r="P13" s="2"/>
      <c r="Q13" s="2"/>
      <c r="R13" s="2"/>
      <c r="S13" s="2"/>
      <c r="T13" s="2"/>
      <c r="U13" s="2"/>
      <c r="V13" s="2"/>
      <c r="W13" s="2"/>
      <c r="X13" s="2"/>
      <c r="Y13" s="2"/>
      <c r="Z13" s="2"/>
    </row>
    <row r="14" spans="1:26" ht="28.8">
      <c r="A14" s="34">
        <v>7</v>
      </c>
      <c r="B14" s="35" t="s">
        <v>191</v>
      </c>
      <c r="C14" s="34"/>
      <c r="D14" s="36" t="s">
        <v>185</v>
      </c>
      <c r="E14" s="2"/>
      <c r="F14" s="2"/>
      <c r="G14" s="2"/>
      <c r="H14" s="2"/>
      <c r="I14" s="2"/>
      <c r="J14" s="2"/>
      <c r="K14" s="2"/>
      <c r="L14" s="2"/>
      <c r="M14" s="2"/>
      <c r="N14" s="2"/>
      <c r="O14" s="2"/>
      <c r="P14" s="2"/>
      <c r="Q14" s="2"/>
      <c r="R14" s="2"/>
      <c r="S14" s="2"/>
      <c r="T14" s="2"/>
      <c r="U14" s="2"/>
      <c r="V14" s="2"/>
      <c r="W14" s="2"/>
      <c r="X14" s="2"/>
      <c r="Y14" s="2"/>
      <c r="Z14" s="2"/>
    </row>
    <row r="15" spans="1:26" ht="43.2">
      <c r="A15" s="34">
        <v>8</v>
      </c>
      <c r="B15" s="35" t="s">
        <v>192</v>
      </c>
      <c r="C15" s="36" t="s">
        <v>185</v>
      </c>
      <c r="D15" s="34"/>
      <c r="E15" s="2"/>
      <c r="F15" s="2"/>
      <c r="G15" s="2"/>
      <c r="H15" s="2"/>
      <c r="I15" s="2"/>
      <c r="J15" s="2"/>
      <c r="K15" s="2"/>
      <c r="L15" s="2"/>
      <c r="M15" s="2"/>
      <c r="N15" s="2"/>
      <c r="O15" s="2"/>
      <c r="P15" s="2"/>
      <c r="Q15" s="2"/>
      <c r="R15" s="2"/>
      <c r="S15" s="2"/>
      <c r="T15" s="2"/>
      <c r="U15" s="2"/>
      <c r="V15" s="2"/>
      <c r="W15" s="2"/>
      <c r="X15" s="2"/>
      <c r="Y15" s="2"/>
      <c r="Z15" s="2"/>
    </row>
    <row r="16" spans="1:26" ht="57.6">
      <c r="A16" s="34">
        <v>9</v>
      </c>
      <c r="B16" s="35" t="s">
        <v>193</v>
      </c>
      <c r="C16" s="34" t="s">
        <v>185</v>
      </c>
      <c r="D16" s="34"/>
      <c r="E16" s="2"/>
      <c r="F16" s="2"/>
      <c r="G16" s="2"/>
      <c r="H16" s="2"/>
      <c r="I16" s="2"/>
      <c r="J16" s="2"/>
      <c r="K16" s="2"/>
      <c r="L16" s="2"/>
      <c r="M16" s="2"/>
      <c r="N16" s="2"/>
      <c r="O16" s="2"/>
      <c r="P16" s="2"/>
      <c r="Q16" s="2"/>
      <c r="R16" s="2"/>
      <c r="S16" s="2"/>
      <c r="T16" s="2"/>
      <c r="U16" s="2"/>
      <c r="V16" s="2"/>
      <c r="W16" s="2"/>
      <c r="X16" s="2"/>
      <c r="Y16" s="2"/>
      <c r="Z16" s="2"/>
    </row>
    <row r="17" spans="1:26" ht="18">
      <c r="A17" s="86" t="s">
        <v>194</v>
      </c>
      <c r="B17" s="72"/>
      <c r="C17" s="38">
        <v>7</v>
      </c>
      <c r="D17" s="38">
        <v>2</v>
      </c>
      <c r="E17" s="2"/>
      <c r="F17" s="2"/>
      <c r="G17" s="2"/>
      <c r="H17" s="2"/>
      <c r="I17" s="2"/>
      <c r="J17" s="2"/>
      <c r="K17" s="2"/>
      <c r="L17" s="2"/>
      <c r="M17" s="2"/>
      <c r="N17" s="2"/>
      <c r="O17" s="2"/>
      <c r="P17" s="2"/>
      <c r="Q17" s="2"/>
      <c r="R17" s="2"/>
      <c r="S17" s="2"/>
      <c r="T17" s="2"/>
      <c r="U17" s="2"/>
      <c r="V17" s="2"/>
      <c r="W17" s="2"/>
      <c r="X17" s="2"/>
      <c r="Y17" s="2"/>
      <c r="Z17" s="2"/>
    </row>
    <row r="18" spans="1:26" ht="18">
      <c r="A18" s="86" t="s">
        <v>195</v>
      </c>
      <c r="B18" s="72"/>
      <c r="C18" s="39">
        <f t="shared" ref="C18:D18" si="0">C17/9</f>
        <v>0.77777777777777779</v>
      </c>
      <c r="D18" s="39">
        <f t="shared" si="0"/>
        <v>0.22222222222222221</v>
      </c>
      <c r="E18" s="2"/>
      <c r="F18" s="2"/>
      <c r="G18" s="2"/>
      <c r="H18" s="2"/>
      <c r="I18" s="2"/>
      <c r="J18" s="2"/>
      <c r="K18" s="2"/>
      <c r="L18" s="2"/>
      <c r="M18" s="2"/>
      <c r="N18" s="2"/>
      <c r="O18" s="2"/>
      <c r="P18" s="2"/>
      <c r="Q18" s="2"/>
      <c r="R18" s="2"/>
      <c r="S18" s="2"/>
      <c r="T18" s="2"/>
      <c r="U18" s="2"/>
      <c r="V18" s="2"/>
      <c r="W18" s="2"/>
      <c r="X18" s="2"/>
      <c r="Y18" s="2"/>
      <c r="Z18" s="2"/>
    </row>
    <row r="19" spans="1:26" ht="14.25" customHeight="1">
      <c r="A19" s="40"/>
      <c r="B19" s="40"/>
      <c r="C19" s="41"/>
      <c r="D19" s="2"/>
      <c r="E19" s="2"/>
      <c r="F19" s="2"/>
      <c r="G19" s="2"/>
      <c r="H19" s="2"/>
      <c r="I19" s="2"/>
      <c r="J19" s="2"/>
      <c r="K19" s="2"/>
      <c r="L19" s="2"/>
      <c r="M19" s="2"/>
      <c r="N19" s="2"/>
      <c r="O19" s="2"/>
      <c r="P19" s="2"/>
      <c r="Q19" s="2"/>
      <c r="R19" s="2"/>
      <c r="S19" s="2"/>
      <c r="T19" s="2"/>
      <c r="U19" s="2"/>
      <c r="V19" s="2"/>
      <c r="W19" s="2"/>
      <c r="X19" s="2"/>
      <c r="Y19" s="2"/>
      <c r="Z19" s="2"/>
    </row>
    <row r="20" spans="1:26" ht="23.4">
      <c r="A20" s="88" t="s">
        <v>196</v>
      </c>
      <c r="B20" s="71"/>
      <c r="C20" s="71"/>
      <c r="D20" s="72"/>
      <c r="E20" s="2"/>
      <c r="F20" s="2"/>
      <c r="G20" s="2"/>
      <c r="H20" s="2"/>
      <c r="I20" s="2"/>
      <c r="J20" s="2"/>
      <c r="K20" s="2"/>
      <c r="L20" s="2"/>
      <c r="M20" s="2"/>
      <c r="N20" s="2"/>
      <c r="O20" s="2"/>
      <c r="P20" s="2"/>
      <c r="Q20" s="2"/>
      <c r="R20" s="2"/>
      <c r="S20" s="2"/>
      <c r="T20" s="2"/>
      <c r="U20" s="2"/>
      <c r="V20" s="2"/>
      <c r="W20" s="2"/>
      <c r="X20" s="2"/>
      <c r="Y20" s="2"/>
      <c r="Z20" s="2"/>
    </row>
    <row r="21" spans="1:26" ht="15.75" customHeight="1">
      <c r="A21" s="42" t="s">
        <v>180</v>
      </c>
      <c r="B21" s="42" t="s">
        <v>181</v>
      </c>
      <c r="C21" s="43" t="s">
        <v>182</v>
      </c>
      <c r="D21" s="43" t="s">
        <v>183</v>
      </c>
      <c r="E21" s="2"/>
      <c r="F21" s="2"/>
      <c r="G21" s="2"/>
      <c r="H21" s="2"/>
      <c r="I21" s="2"/>
      <c r="J21" s="2"/>
      <c r="K21" s="2"/>
      <c r="L21" s="2"/>
      <c r="M21" s="2"/>
      <c r="N21" s="2"/>
      <c r="O21" s="2"/>
      <c r="P21" s="2"/>
      <c r="Q21" s="2"/>
      <c r="R21" s="2"/>
      <c r="S21" s="2"/>
      <c r="T21" s="2"/>
      <c r="U21" s="2"/>
      <c r="V21" s="2"/>
      <c r="W21" s="2"/>
      <c r="X21" s="2"/>
      <c r="Y21" s="2"/>
      <c r="Z21" s="2"/>
    </row>
    <row r="22" spans="1:26" ht="15.75" customHeight="1">
      <c r="A22" s="34">
        <v>1</v>
      </c>
      <c r="B22" s="35" t="s">
        <v>197</v>
      </c>
      <c r="C22" s="34" t="s">
        <v>185</v>
      </c>
      <c r="D22" s="34"/>
      <c r="E22" s="2"/>
      <c r="F22" s="2"/>
      <c r="G22" s="2"/>
      <c r="H22" s="2"/>
      <c r="I22" s="2"/>
      <c r="J22" s="2"/>
      <c r="K22" s="2"/>
      <c r="L22" s="2"/>
      <c r="M22" s="2"/>
      <c r="N22" s="2"/>
      <c r="O22" s="2"/>
      <c r="P22" s="2"/>
      <c r="Q22" s="2"/>
      <c r="R22" s="2"/>
      <c r="S22" s="2"/>
      <c r="T22" s="2"/>
      <c r="U22" s="2"/>
      <c r="V22" s="2"/>
      <c r="W22" s="2"/>
      <c r="X22" s="2"/>
      <c r="Y22" s="2"/>
      <c r="Z22" s="2"/>
    </row>
    <row r="23" spans="1:26" ht="15.75" customHeight="1">
      <c r="A23" s="34">
        <v>2</v>
      </c>
      <c r="B23" s="35" t="s">
        <v>198</v>
      </c>
      <c r="C23" s="34" t="s">
        <v>185</v>
      </c>
      <c r="D23" s="34"/>
      <c r="E23" s="2"/>
      <c r="F23" s="2"/>
      <c r="G23" s="2"/>
      <c r="H23" s="2"/>
      <c r="I23" s="2"/>
      <c r="J23" s="2"/>
      <c r="K23" s="2"/>
      <c r="L23" s="2"/>
      <c r="M23" s="2"/>
      <c r="N23" s="2"/>
      <c r="O23" s="2"/>
      <c r="P23" s="2"/>
      <c r="Q23" s="2"/>
      <c r="R23" s="2"/>
      <c r="S23" s="2"/>
      <c r="T23" s="2"/>
      <c r="U23" s="2"/>
      <c r="V23" s="2"/>
      <c r="W23" s="2"/>
      <c r="X23" s="2"/>
      <c r="Y23" s="2"/>
      <c r="Z23" s="2"/>
    </row>
    <row r="24" spans="1:26" ht="15.75" customHeight="1">
      <c r="A24" s="34">
        <v>3</v>
      </c>
      <c r="B24" s="35" t="s">
        <v>199</v>
      </c>
      <c r="C24" s="34" t="s">
        <v>185</v>
      </c>
      <c r="D24" s="34"/>
      <c r="E24" s="2"/>
      <c r="F24" s="2"/>
      <c r="G24" s="2"/>
      <c r="H24" s="2"/>
      <c r="I24" s="2"/>
      <c r="J24" s="2"/>
      <c r="K24" s="2"/>
      <c r="L24" s="2"/>
      <c r="M24" s="2"/>
      <c r="N24" s="2"/>
      <c r="O24" s="2"/>
      <c r="P24" s="2"/>
      <c r="Q24" s="2"/>
      <c r="R24" s="2"/>
      <c r="S24" s="2"/>
      <c r="T24" s="2"/>
      <c r="U24" s="2"/>
      <c r="V24" s="2"/>
      <c r="W24" s="2"/>
      <c r="X24" s="2"/>
      <c r="Y24" s="2"/>
      <c r="Z24" s="2"/>
    </row>
    <row r="25" spans="1:26" ht="15.75" customHeight="1">
      <c r="A25" s="34">
        <v>4</v>
      </c>
      <c r="B25" s="35" t="s">
        <v>200</v>
      </c>
      <c r="C25" s="34"/>
      <c r="D25" s="34" t="s">
        <v>185</v>
      </c>
      <c r="E25" s="2"/>
      <c r="F25" s="2"/>
      <c r="G25" s="2"/>
      <c r="H25" s="2"/>
      <c r="I25" s="2"/>
      <c r="J25" s="2"/>
      <c r="K25" s="2"/>
      <c r="L25" s="2"/>
      <c r="M25" s="2"/>
      <c r="N25" s="2"/>
      <c r="O25" s="2"/>
      <c r="P25" s="2"/>
      <c r="Q25" s="2"/>
      <c r="R25" s="2"/>
      <c r="S25" s="2"/>
      <c r="T25" s="2"/>
      <c r="U25" s="2"/>
      <c r="V25" s="2"/>
      <c r="W25" s="2"/>
      <c r="X25" s="2"/>
      <c r="Y25" s="2"/>
      <c r="Z25" s="2"/>
    </row>
    <row r="26" spans="1:26" ht="15.75" customHeight="1">
      <c r="A26" s="34">
        <v>5</v>
      </c>
      <c r="B26" s="35" t="s">
        <v>201</v>
      </c>
      <c r="C26" s="34" t="s">
        <v>185</v>
      </c>
      <c r="D26" s="34"/>
      <c r="E26" s="2"/>
      <c r="F26" s="2"/>
      <c r="G26" s="2"/>
      <c r="H26" s="2"/>
      <c r="I26" s="2"/>
      <c r="J26" s="2"/>
      <c r="K26" s="2"/>
      <c r="L26" s="2"/>
      <c r="M26" s="2"/>
      <c r="N26" s="2"/>
      <c r="O26" s="2"/>
      <c r="P26" s="2"/>
      <c r="Q26" s="2"/>
      <c r="R26" s="2"/>
      <c r="S26" s="2"/>
      <c r="T26" s="2"/>
      <c r="U26" s="2"/>
      <c r="V26" s="2"/>
      <c r="W26" s="2"/>
      <c r="X26" s="2"/>
      <c r="Y26" s="2"/>
      <c r="Z26" s="2"/>
    </row>
    <row r="27" spans="1:26" ht="15.75" customHeight="1">
      <c r="A27" s="86" t="s">
        <v>194</v>
      </c>
      <c r="B27" s="72"/>
      <c r="C27" s="38">
        <v>4</v>
      </c>
      <c r="D27" s="45">
        <v>1</v>
      </c>
      <c r="E27" s="2"/>
      <c r="F27" s="2"/>
      <c r="G27" s="2"/>
      <c r="H27" s="2"/>
      <c r="I27" s="2"/>
      <c r="J27" s="2"/>
      <c r="K27" s="2"/>
      <c r="L27" s="2"/>
      <c r="M27" s="2"/>
      <c r="N27" s="2"/>
      <c r="O27" s="2"/>
      <c r="P27" s="2"/>
      <c r="Q27" s="2"/>
      <c r="R27" s="2"/>
      <c r="S27" s="2"/>
      <c r="T27" s="2"/>
      <c r="U27" s="2"/>
      <c r="V27" s="2"/>
      <c r="W27" s="2"/>
      <c r="X27" s="2"/>
      <c r="Y27" s="2"/>
      <c r="Z27" s="2"/>
    </row>
    <row r="28" spans="1:26" ht="15.75" customHeight="1">
      <c r="A28" s="86" t="s">
        <v>195</v>
      </c>
      <c r="B28" s="72"/>
      <c r="C28" s="39">
        <f t="shared" ref="C28:D28" si="1">C27/5</f>
        <v>0.8</v>
      </c>
      <c r="D28" s="39">
        <f t="shared" si="1"/>
        <v>0.2</v>
      </c>
      <c r="E28" s="2"/>
      <c r="F28" s="2"/>
      <c r="G28" s="2"/>
      <c r="H28" s="2"/>
      <c r="I28" s="2"/>
      <c r="J28" s="2"/>
      <c r="K28" s="2"/>
      <c r="L28" s="2"/>
      <c r="M28" s="2"/>
      <c r="N28" s="2"/>
      <c r="O28" s="2"/>
      <c r="P28" s="2"/>
      <c r="Q28" s="2"/>
      <c r="R28" s="2"/>
      <c r="S28" s="2"/>
      <c r="T28" s="2"/>
      <c r="U28" s="2"/>
      <c r="V28" s="2"/>
      <c r="W28" s="2"/>
      <c r="X28" s="2"/>
      <c r="Y28" s="2"/>
      <c r="Z28" s="2"/>
    </row>
    <row r="29" spans="1:26" ht="14.25" customHeight="1">
      <c r="A29" s="40"/>
      <c r="B29" s="40"/>
      <c r="C29" s="41"/>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88" t="s">
        <v>202</v>
      </c>
      <c r="B30" s="71"/>
      <c r="C30" s="71"/>
      <c r="D30" s="72"/>
      <c r="E30" s="2"/>
      <c r="F30" s="2"/>
      <c r="G30" s="2"/>
      <c r="H30" s="2"/>
      <c r="I30" s="2"/>
      <c r="J30" s="2"/>
      <c r="K30" s="2"/>
      <c r="L30" s="2"/>
      <c r="M30" s="2"/>
      <c r="N30" s="2"/>
      <c r="O30" s="2"/>
      <c r="P30" s="2"/>
      <c r="Q30" s="2"/>
      <c r="R30" s="2"/>
      <c r="S30" s="2"/>
      <c r="T30" s="2"/>
      <c r="U30" s="2"/>
      <c r="V30" s="2"/>
      <c r="W30" s="2"/>
      <c r="X30" s="2"/>
      <c r="Y30" s="2"/>
      <c r="Z30" s="2"/>
    </row>
    <row r="31" spans="1:26" ht="15.75" customHeight="1">
      <c r="A31" s="42" t="s">
        <v>180</v>
      </c>
      <c r="B31" s="42" t="s">
        <v>181</v>
      </c>
      <c r="C31" s="43" t="s">
        <v>182</v>
      </c>
      <c r="D31" s="43" t="s">
        <v>183</v>
      </c>
      <c r="E31" s="2"/>
      <c r="F31" s="2"/>
      <c r="G31" s="2"/>
      <c r="H31" s="2"/>
      <c r="I31" s="2"/>
      <c r="J31" s="2"/>
      <c r="K31" s="2"/>
      <c r="L31" s="2"/>
      <c r="M31" s="2"/>
      <c r="N31" s="2"/>
      <c r="O31" s="2"/>
      <c r="P31" s="2"/>
      <c r="Q31" s="2"/>
      <c r="R31" s="2"/>
      <c r="S31" s="2"/>
      <c r="T31" s="2"/>
      <c r="U31" s="2"/>
      <c r="V31" s="2"/>
      <c r="W31" s="2"/>
      <c r="X31" s="2"/>
      <c r="Y31" s="2"/>
      <c r="Z31" s="2"/>
    </row>
    <row r="32" spans="1:26" ht="15.75" customHeight="1">
      <c r="A32" s="34">
        <v>1</v>
      </c>
      <c r="B32" s="35" t="s">
        <v>203</v>
      </c>
      <c r="C32" s="34" t="s">
        <v>185</v>
      </c>
      <c r="D32" s="34"/>
      <c r="E32" s="2"/>
      <c r="F32" s="2"/>
      <c r="G32" s="2"/>
      <c r="H32" s="2"/>
      <c r="I32" s="2"/>
      <c r="J32" s="2"/>
      <c r="K32" s="2"/>
      <c r="L32" s="2"/>
      <c r="M32" s="2"/>
      <c r="N32" s="2"/>
      <c r="O32" s="2"/>
      <c r="P32" s="2"/>
      <c r="Q32" s="2"/>
      <c r="R32" s="2"/>
      <c r="S32" s="2"/>
      <c r="T32" s="2"/>
      <c r="U32" s="2"/>
      <c r="V32" s="2"/>
      <c r="W32" s="2"/>
      <c r="X32" s="2"/>
      <c r="Y32" s="2"/>
      <c r="Z32" s="2"/>
    </row>
    <row r="33" spans="1:26" ht="15.75" customHeight="1">
      <c r="A33" s="34">
        <v>2</v>
      </c>
      <c r="B33" s="35" t="s">
        <v>204</v>
      </c>
      <c r="C33" s="34" t="s">
        <v>185</v>
      </c>
      <c r="D33" s="34"/>
      <c r="E33" s="2"/>
      <c r="F33" s="2"/>
      <c r="G33" s="2"/>
      <c r="H33" s="2"/>
      <c r="I33" s="2"/>
      <c r="J33" s="2"/>
      <c r="K33" s="2"/>
      <c r="L33" s="2"/>
      <c r="M33" s="2"/>
      <c r="N33" s="2"/>
      <c r="O33" s="2"/>
      <c r="P33" s="2"/>
      <c r="Q33" s="2"/>
      <c r="R33" s="2"/>
      <c r="S33" s="2"/>
      <c r="T33" s="2"/>
      <c r="U33" s="2"/>
      <c r="V33" s="2"/>
      <c r="W33" s="2"/>
      <c r="X33" s="2"/>
      <c r="Y33" s="2"/>
      <c r="Z33" s="2"/>
    </row>
    <row r="34" spans="1:26" ht="15.75" customHeight="1">
      <c r="A34" s="34">
        <v>3</v>
      </c>
      <c r="B34" s="35" t="s">
        <v>205</v>
      </c>
      <c r="C34" s="36" t="s">
        <v>185</v>
      </c>
      <c r="D34" s="34"/>
      <c r="E34" s="2"/>
      <c r="F34" s="2"/>
      <c r="G34" s="2"/>
      <c r="H34" s="2"/>
      <c r="I34" s="2"/>
      <c r="J34" s="2"/>
      <c r="K34" s="2"/>
      <c r="L34" s="2"/>
      <c r="M34" s="2"/>
      <c r="N34" s="2"/>
      <c r="O34" s="2"/>
      <c r="P34" s="2"/>
      <c r="Q34" s="2"/>
      <c r="R34" s="2"/>
      <c r="S34" s="2"/>
      <c r="T34" s="2"/>
      <c r="U34" s="2"/>
      <c r="V34" s="2"/>
      <c r="W34" s="2"/>
      <c r="X34" s="2"/>
      <c r="Y34" s="2"/>
      <c r="Z34" s="2"/>
    </row>
    <row r="35" spans="1:26" ht="15.75" customHeight="1">
      <c r="A35" s="86" t="s">
        <v>194</v>
      </c>
      <c r="B35" s="72"/>
      <c r="C35" s="45">
        <v>3</v>
      </c>
      <c r="D35" s="38">
        <v>0</v>
      </c>
      <c r="E35" s="2"/>
      <c r="F35" s="2"/>
      <c r="G35" s="2"/>
      <c r="H35" s="2"/>
      <c r="I35" s="2"/>
      <c r="J35" s="2"/>
      <c r="K35" s="2"/>
      <c r="L35" s="2"/>
      <c r="M35" s="2"/>
      <c r="N35" s="2"/>
      <c r="O35" s="2"/>
      <c r="P35" s="2"/>
      <c r="Q35" s="2"/>
      <c r="R35" s="2"/>
      <c r="S35" s="2"/>
      <c r="T35" s="2"/>
      <c r="U35" s="2"/>
      <c r="V35" s="2"/>
      <c r="W35" s="2"/>
      <c r="X35" s="2"/>
      <c r="Y35" s="2"/>
      <c r="Z35" s="2"/>
    </row>
    <row r="36" spans="1:26" ht="15.75" customHeight="1">
      <c r="A36" s="86" t="s">
        <v>195</v>
      </c>
      <c r="B36" s="72"/>
      <c r="C36" s="39">
        <f t="shared" ref="C36:D36" si="2">C35/3</f>
        <v>1</v>
      </c>
      <c r="D36" s="39">
        <f t="shared" si="2"/>
        <v>0</v>
      </c>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87" t="s">
        <v>206</v>
      </c>
      <c r="C40" s="72"/>
      <c r="D40" s="48"/>
      <c r="E40" s="2"/>
      <c r="F40" s="2"/>
      <c r="G40" s="2"/>
      <c r="H40" s="2"/>
      <c r="I40" s="2"/>
      <c r="J40" s="2"/>
      <c r="K40" s="2"/>
      <c r="L40" s="2"/>
      <c r="M40" s="2"/>
      <c r="N40" s="2"/>
      <c r="O40" s="2"/>
      <c r="P40" s="2"/>
      <c r="Q40" s="2"/>
      <c r="R40" s="2"/>
      <c r="S40" s="2"/>
      <c r="T40" s="2"/>
      <c r="U40" s="2"/>
      <c r="V40" s="2"/>
      <c r="W40" s="2"/>
      <c r="X40" s="2"/>
      <c r="Y40" s="2"/>
      <c r="Z40" s="2"/>
    </row>
    <row r="41" spans="1:26" ht="30" customHeight="1">
      <c r="A41" s="2"/>
      <c r="B41" s="44" t="s">
        <v>207</v>
      </c>
      <c r="C41" s="38">
        <v>78</v>
      </c>
      <c r="D41" s="2"/>
      <c r="E41" s="2"/>
      <c r="F41" s="2"/>
      <c r="G41" s="2"/>
      <c r="H41" s="2"/>
      <c r="I41" s="2"/>
      <c r="J41" s="2"/>
      <c r="K41" s="2"/>
      <c r="L41" s="2"/>
      <c r="M41" s="2"/>
      <c r="N41" s="2"/>
      <c r="O41" s="2"/>
      <c r="P41" s="2"/>
      <c r="Q41" s="2"/>
      <c r="R41" s="2"/>
      <c r="S41" s="2"/>
      <c r="T41" s="2"/>
      <c r="U41" s="2"/>
      <c r="V41" s="2"/>
      <c r="W41" s="2"/>
      <c r="X41" s="2"/>
      <c r="Y41" s="2"/>
      <c r="Z41" s="2"/>
    </row>
    <row r="42" spans="1:26" ht="30" customHeight="1">
      <c r="A42" s="2"/>
      <c r="B42" s="44" t="s">
        <v>196</v>
      </c>
      <c r="C42" s="38">
        <v>80</v>
      </c>
      <c r="D42" s="2"/>
      <c r="E42" s="2"/>
      <c r="F42" s="2"/>
      <c r="G42" s="2"/>
      <c r="H42" s="2"/>
      <c r="I42" s="2"/>
      <c r="J42" s="2"/>
      <c r="K42" s="2"/>
      <c r="L42" s="2"/>
      <c r="M42" s="2"/>
      <c r="N42" s="2"/>
      <c r="O42" s="2"/>
      <c r="P42" s="2"/>
      <c r="Q42" s="2"/>
      <c r="R42" s="2"/>
      <c r="S42" s="2"/>
      <c r="T42" s="2"/>
      <c r="U42" s="2"/>
      <c r="V42" s="2"/>
      <c r="W42" s="2"/>
      <c r="X42" s="2"/>
      <c r="Y42" s="2"/>
      <c r="Z42" s="2"/>
    </row>
    <row r="43" spans="1:26" ht="30" customHeight="1">
      <c r="A43" s="2"/>
      <c r="B43" s="44" t="s">
        <v>202</v>
      </c>
      <c r="C43" s="45">
        <v>100</v>
      </c>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39" priority="1" operator="containsText" text="X">
      <formula>NOT(ISERROR(SEARCH(("X"),(A32))))</formula>
    </cfRule>
  </conditionalFormatting>
  <conditionalFormatting sqref="C8:D16 C22:C26 C32:D34 H8:I16 H22:H26 H32:I34 M8:N16 M22:M26 M32:N34">
    <cfRule type="containsText" dxfId="38" priority="2" operator="containsText" text="X">
      <formula>NOT(ISERROR(SEARCH(("X"),(C8))))</formula>
    </cfRule>
  </conditionalFormatting>
  <conditionalFormatting sqref="C8:D16 C22:C26 C32:D34 H8:I16 H22:H26 H32:I34 M8:N16 M22:M26 M32:N34">
    <cfRule type="containsText" dxfId="37" priority="3" operator="containsText" text="X">
      <formula>NOT(ISERROR(SEARCH(("X"),(C8))))</formula>
    </cfRule>
  </conditionalFormatting>
  <conditionalFormatting sqref="C8:D16 C22:C26 C32:D34 H8:I16 H22:H26 H32:I34 M8:N16 M22:M26 M32:N34">
    <cfRule type="containsText" dxfId="36" priority="4" operator="containsText" text="X">
      <formula>NOT(ISERROR(SEARCH(("X"),(C8))))</formula>
    </cfRule>
  </conditionalFormatting>
  <conditionalFormatting sqref="C22:D26 H22:I26 M22:N26">
    <cfRule type="containsText" dxfId="35" priority="5" operator="containsText" text="X">
      <formula>NOT(ISERROR(SEARCH(("X"),(C22))))</formula>
    </cfRule>
  </conditionalFormatting>
  <conditionalFormatting sqref="C22:D26 H22:I26 M22:N26">
    <cfRule type="containsText" dxfId="34" priority="6" operator="containsText" text="X">
      <formula>NOT(ISERROR(SEARCH(("X"),(C22))))</formula>
    </cfRule>
  </conditionalFormatting>
  <conditionalFormatting sqref="C8:D16 C22:C26 C32:D34 H8:I16 H22:H26 H32:I34 M8:N16 M22:M26 M32:N34">
    <cfRule type="containsText" dxfId="33" priority="7" operator="containsText" text="X">
      <formula>NOT(ISERROR(SEARCH(("X"),(C8))))</formula>
    </cfRule>
  </conditionalFormatting>
  <conditionalFormatting sqref="C32:D34 H32:I34 M32:N34">
    <cfRule type="containsText" dxfId="32"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70" zoomScaleNormal="70" workbookViewId="0">
      <selection activeCell="C4" sqref="C4:D4"/>
    </sheetView>
  </sheetViews>
  <sheetFormatPr baseColWidth="10" defaultColWidth="14.44140625" defaultRowHeight="15" customHeight="1"/>
  <cols>
    <col min="1" max="1" width="10.6640625" customWidth="1"/>
    <col min="2" max="2" width="36.6640625" customWidth="1"/>
    <col min="3" max="3" width="23" customWidth="1"/>
    <col min="4" max="4" width="20.6640625"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24" width="10.6640625" customWidth="1"/>
  </cols>
  <sheetData>
    <row r="1" spans="1:26" ht="18">
      <c r="A1" s="81" t="s">
        <v>1</v>
      </c>
      <c r="B1" s="72"/>
      <c r="C1" s="82" t="s">
        <v>2</v>
      </c>
      <c r="D1" s="72"/>
      <c r="E1" s="32"/>
      <c r="F1" s="2"/>
      <c r="G1" s="2"/>
      <c r="H1" s="2"/>
      <c r="I1" s="2"/>
      <c r="J1" s="2"/>
      <c r="K1" s="2"/>
      <c r="L1" s="2"/>
      <c r="M1" s="2"/>
      <c r="N1" s="2"/>
      <c r="O1" s="32"/>
      <c r="P1" s="32"/>
      <c r="Q1" s="32"/>
      <c r="R1" s="32"/>
      <c r="S1" s="32"/>
      <c r="T1" s="32"/>
      <c r="U1" s="32"/>
      <c r="V1" s="32"/>
      <c r="W1" s="32"/>
      <c r="X1" s="32"/>
      <c r="Y1" s="32"/>
      <c r="Z1" s="32"/>
    </row>
    <row r="2" spans="1:26" ht="18">
      <c r="A2" s="83" t="s">
        <v>175</v>
      </c>
      <c r="B2" s="72"/>
      <c r="C2" s="84">
        <v>46160</v>
      </c>
      <c r="D2" s="72"/>
      <c r="E2" s="2"/>
      <c r="F2" s="2"/>
      <c r="G2" s="2"/>
      <c r="H2" s="2"/>
      <c r="I2" s="2"/>
      <c r="J2" s="2"/>
      <c r="K2" s="2"/>
      <c r="L2" s="2"/>
      <c r="M2" s="2"/>
      <c r="N2" s="2"/>
      <c r="O2" s="2"/>
      <c r="P2" s="2"/>
      <c r="Q2" s="2"/>
      <c r="R2" s="2"/>
      <c r="S2" s="2"/>
      <c r="T2" s="2"/>
      <c r="U2" s="2"/>
      <c r="V2" s="2"/>
      <c r="W2" s="2"/>
      <c r="X2" s="2"/>
      <c r="Y2" s="2"/>
      <c r="Z2" s="2"/>
    </row>
    <row r="3" spans="1:26" ht="18">
      <c r="A3" s="83" t="s">
        <v>176</v>
      </c>
      <c r="B3" s="72"/>
      <c r="C3" s="85" t="s">
        <v>209</v>
      </c>
      <c r="D3" s="72"/>
      <c r="E3" s="2"/>
      <c r="F3" s="2"/>
      <c r="G3" s="2"/>
      <c r="H3" s="2"/>
      <c r="I3" s="2"/>
      <c r="J3" s="2"/>
      <c r="K3" s="2"/>
      <c r="L3" s="2"/>
      <c r="M3" s="2"/>
      <c r="N3" s="2"/>
      <c r="O3" s="2"/>
      <c r="P3" s="2"/>
      <c r="Q3" s="2"/>
      <c r="R3" s="2"/>
      <c r="S3" s="2"/>
      <c r="T3" s="2"/>
      <c r="U3" s="2"/>
      <c r="V3" s="2"/>
      <c r="W3" s="2"/>
      <c r="X3" s="2"/>
      <c r="Y3" s="2"/>
      <c r="Z3" s="2"/>
    </row>
    <row r="4" spans="1:26" ht="18" customHeight="1">
      <c r="A4" s="83" t="s">
        <v>178</v>
      </c>
      <c r="B4" s="72"/>
      <c r="C4" s="85" t="s">
        <v>266</v>
      </c>
      <c r="D4" s="72"/>
      <c r="E4" s="2"/>
      <c r="F4" s="2"/>
      <c r="G4" s="2"/>
      <c r="H4" s="2"/>
      <c r="I4" s="2"/>
      <c r="J4" s="2"/>
      <c r="K4" s="2"/>
      <c r="L4" s="2"/>
      <c r="M4" s="2"/>
      <c r="N4" s="2"/>
      <c r="O4" s="2"/>
      <c r="P4" s="2"/>
      <c r="Q4" s="2"/>
      <c r="R4" s="2"/>
      <c r="S4" s="2"/>
      <c r="T4" s="2"/>
      <c r="U4" s="2"/>
      <c r="V4" s="2"/>
      <c r="W4" s="2"/>
      <c r="X4" s="2"/>
      <c r="Y4" s="2"/>
      <c r="Z4" s="2"/>
    </row>
    <row r="5" spans="1:26" ht="14.25" customHeight="1">
      <c r="A5" s="2"/>
      <c r="B5" s="2"/>
      <c r="C5" s="2"/>
      <c r="D5" s="2"/>
      <c r="E5" s="2"/>
      <c r="F5" s="2"/>
      <c r="G5" s="2"/>
      <c r="H5" s="2"/>
      <c r="I5" s="2"/>
      <c r="J5" s="2"/>
      <c r="K5" s="2"/>
      <c r="L5" s="2"/>
      <c r="M5" s="2"/>
      <c r="N5" s="2"/>
      <c r="O5" s="2"/>
      <c r="P5" s="2"/>
      <c r="Q5" s="2"/>
      <c r="R5" s="2"/>
      <c r="S5" s="2"/>
      <c r="T5" s="2"/>
      <c r="U5" s="2"/>
      <c r="V5" s="2"/>
      <c r="W5" s="2"/>
      <c r="X5" s="2"/>
      <c r="Y5" s="2"/>
      <c r="Z5" s="2"/>
    </row>
    <row r="6" spans="1:26" ht="23.4">
      <c r="A6" s="88" t="s">
        <v>179</v>
      </c>
      <c r="B6" s="71"/>
      <c r="C6" s="71"/>
      <c r="D6" s="72"/>
      <c r="E6" s="2"/>
      <c r="F6" s="2"/>
      <c r="G6" s="2"/>
      <c r="H6" s="2"/>
      <c r="I6" s="2"/>
      <c r="J6" s="2"/>
      <c r="K6" s="2"/>
      <c r="L6" s="2"/>
      <c r="M6" s="2"/>
      <c r="N6" s="2"/>
      <c r="O6" s="2"/>
      <c r="P6" s="2"/>
      <c r="Q6" s="2"/>
      <c r="R6" s="2"/>
      <c r="S6" s="2"/>
      <c r="T6" s="2"/>
      <c r="U6" s="2"/>
      <c r="V6" s="2"/>
      <c r="W6" s="2"/>
      <c r="X6" s="2"/>
      <c r="Y6" s="2"/>
      <c r="Z6" s="2"/>
    </row>
    <row r="7" spans="1:26" ht="18">
      <c r="A7" s="33" t="s">
        <v>180</v>
      </c>
      <c r="B7" s="33" t="s">
        <v>181</v>
      </c>
      <c r="C7" s="33" t="s">
        <v>182</v>
      </c>
      <c r="D7" s="33" t="s">
        <v>183</v>
      </c>
      <c r="E7" s="2"/>
      <c r="F7" s="2"/>
      <c r="G7" s="2"/>
      <c r="H7" s="2"/>
      <c r="I7" s="2"/>
      <c r="J7" s="2"/>
      <c r="K7" s="2"/>
      <c r="L7" s="2"/>
      <c r="M7" s="2"/>
      <c r="N7" s="2"/>
      <c r="O7" s="2"/>
      <c r="P7" s="2"/>
      <c r="Q7" s="2"/>
      <c r="R7" s="2"/>
      <c r="S7" s="2"/>
      <c r="T7" s="2"/>
      <c r="U7" s="2"/>
      <c r="V7" s="2"/>
      <c r="W7" s="2"/>
      <c r="X7" s="2"/>
      <c r="Y7" s="2"/>
      <c r="Z7" s="2"/>
    </row>
    <row r="8" spans="1:26" ht="28.8">
      <c r="A8" s="34">
        <v>1</v>
      </c>
      <c r="B8" s="35" t="s">
        <v>184</v>
      </c>
      <c r="C8" s="34" t="s">
        <v>185</v>
      </c>
      <c r="D8" s="34"/>
      <c r="E8" s="2"/>
      <c r="F8" s="2"/>
      <c r="G8" s="2"/>
      <c r="H8" s="2"/>
      <c r="I8" s="2"/>
      <c r="J8" s="2"/>
      <c r="K8" s="2"/>
      <c r="L8" s="2"/>
      <c r="M8" s="2"/>
      <c r="N8" s="2"/>
      <c r="O8" s="2"/>
      <c r="P8" s="2"/>
      <c r="Q8" s="2"/>
      <c r="R8" s="2"/>
      <c r="S8" s="2"/>
      <c r="T8" s="2"/>
      <c r="U8" s="2"/>
      <c r="V8" s="2"/>
      <c r="W8" s="2"/>
      <c r="X8" s="2"/>
      <c r="Y8" s="2"/>
      <c r="Z8" s="2"/>
    </row>
    <row r="9" spans="1:26" ht="28.8">
      <c r="A9" s="34">
        <v>2</v>
      </c>
      <c r="B9" s="35" t="s">
        <v>186</v>
      </c>
      <c r="C9" s="34" t="s">
        <v>185</v>
      </c>
      <c r="D9" s="34"/>
      <c r="E9" s="2"/>
      <c r="F9" s="2"/>
      <c r="G9" s="2"/>
      <c r="H9" s="2"/>
      <c r="I9" s="2"/>
      <c r="J9" s="2"/>
      <c r="K9" s="2"/>
      <c r="L9" s="2"/>
      <c r="M9" s="2"/>
      <c r="N9" s="2"/>
      <c r="O9" s="2"/>
      <c r="P9" s="2"/>
      <c r="Q9" s="2"/>
      <c r="R9" s="2"/>
      <c r="S9" s="2"/>
      <c r="T9" s="2"/>
      <c r="U9" s="2"/>
      <c r="V9" s="2"/>
      <c r="W9" s="2"/>
      <c r="X9" s="2"/>
      <c r="Y9" s="2"/>
      <c r="Z9" s="2"/>
    </row>
    <row r="10" spans="1:26" ht="57.6">
      <c r="A10" s="34">
        <v>3</v>
      </c>
      <c r="B10" s="35" t="s">
        <v>187</v>
      </c>
      <c r="C10" s="34"/>
      <c r="D10" s="37" t="s">
        <v>185</v>
      </c>
      <c r="E10" s="2"/>
      <c r="F10" s="2"/>
      <c r="G10" s="2"/>
      <c r="H10" s="2"/>
      <c r="I10" s="2"/>
      <c r="J10" s="2"/>
      <c r="K10" s="2"/>
      <c r="L10" s="2"/>
      <c r="M10" s="2"/>
      <c r="N10" s="2"/>
      <c r="O10" s="2"/>
      <c r="P10" s="2"/>
      <c r="Q10" s="2"/>
      <c r="R10" s="2"/>
      <c r="S10" s="2"/>
      <c r="T10" s="2"/>
      <c r="U10" s="2"/>
      <c r="V10" s="2"/>
      <c r="W10" s="2"/>
      <c r="X10" s="2"/>
      <c r="Y10" s="2"/>
      <c r="Z10" s="2"/>
    </row>
    <row r="11" spans="1:26" ht="28.8">
      <c r="A11" s="34">
        <v>4</v>
      </c>
      <c r="B11" s="35" t="s">
        <v>188</v>
      </c>
      <c r="C11" s="34" t="s">
        <v>185</v>
      </c>
      <c r="D11" s="34"/>
      <c r="E11" s="2"/>
      <c r="F11" s="2"/>
      <c r="G11" s="2"/>
      <c r="H11" s="2"/>
      <c r="I11" s="2"/>
      <c r="J11" s="2"/>
      <c r="K11" s="2"/>
      <c r="L11" s="2"/>
      <c r="M11" s="2"/>
      <c r="N11" s="2"/>
      <c r="O11" s="2"/>
      <c r="P11" s="2"/>
      <c r="Q11" s="2"/>
      <c r="R11" s="2"/>
      <c r="S11" s="2"/>
      <c r="T11" s="2"/>
      <c r="U11" s="2"/>
      <c r="V11" s="2"/>
      <c r="W11" s="2"/>
      <c r="X11" s="2"/>
      <c r="Y11" s="2"/>
      <c r="Z11" s="2"/>
    </row>
    <row r="12" spans="1:26" ht="28.8">
      <c r="A12" s="34">
        <v>5</v>
      </c>
      <c r="B12" s="35" t="s">
        <v>189</v>
      </c>
      <c r="C12" s="34" t="s">
        <v>185</v>
      </c>
      <c r="D12" s="34"/>
      <c r="E12" s="2"/>
      <c r="F12" s="2"/>
      <c r="G12" s="2"/>
      <c r="H12" s="2"/>
      <c r="I12" s="2"/>
      <c r="J12" s="2"/>
      <c r="K12" s="2"/>
      <c r="L12" s="2"/>
      <c r="M12" s="2"/>
      <c r="N12" s="2"/>
      <c r="O12" s="2"/>
      <c r="P12" s="2"/>
      <c r="Q12" s="2"/>
      <c r="R12" s="2"/>
      <c r="S12" s="2"/>
      <c r="T12" s="2"/>
      <c r="U12" s="2"/>
      <c r="V12" s="2"/>
      <c r="W12" s="2"/>
      <c r="X12" s="2"/>
      <c r="Y12" s="2"/>
      <c r="Z12" s="2"/>
    </row>
    <row r="13" spans="1:26" ht="28.8">
      <c r="A13" s="34">
        <v>6</v>
      </c>
      <c r="B13" s="35" t="s">
        <v>190</v>
      </c>
      <c r="C13" s="34" t="s">
        <v>185</v>
      </c>
      <c r="D13" s="34"/>
      <c r="E13" s="2"/>
      <c r="F13" s="2"/>
      <c r="G13" s="2"/>
      <c r="H13" s="2"/>
      <c r="I13" s="2"/>
      <c r="J13" s="2"/>
      <c r="K13" s="2"/>
      <c r="L13" s="2"/>
      <c r="M13" s="2"/>
      <c r="N13" s="2"/>
      <c r="O13" s="2"/>
      <c r="P13" s="2"/>
      <c r="Q13" s="2"/>
      <c r="R13" s="2"/>
      <c r="S13" s="2"/>
      <c r="T13" s="2"/>
      <c r="U13" s="2"/>
      <c r="V13" s="2"/>
      <c r="W13" s="2"/>
      <c r="X13" s="2"/>
      <c r="Y13" s="2"/>
      <c r="Z13" s="2"/>
    </row>
    <row r="14" spans="1:26" ht="28.8">
      <c r="A14" s="34">
        <v>7</v>
      </c>
      <c r="B14" s="35" t="s">
        <v>191</v>
      </c>
      <c r="C14" s="34"/>
      <c r="D14" s="36" t="s">
        <v>185</v>
      </c>
      <c r="E14" s="2"/>
      <c r="F14" s="2"/>
      <c r="G14" s="2"/>
      <c r="H14" s="2"/>
      <c r="I14" s="2"/>
      <c r="J14" s="2"/>
      <c r="K14" s="2"/>
      <c r="L14" s="2"/>
      <c r="M14" s="2"/>
      <c r="N14" s="2"/>
      <c r="O14" s="2"/>
      <c r="P14" s="2"/>
      <c r="Q14" s="2"/>
      <c r="R14" s="2"/>
      <c r="S14" s="2"/>
      <c r="T14" s="2"/>
      <c r="U14" s="2"/>
      <c r="V14" s="2"/>
      <c r="W14" s="2"/>
      <c r="X14" s="2"/>
      <c r="Y14" s="2"/>
      <c r="Z14" s="2"/>
    </row>
    <row r="15" spans="1:26" ht="43.2">
      <c r="A15" s="34">
        <v>8</v>
      </c>
      <c r="B15" s="35" t="s">
        <v>192</v>
      </c>
      <c r="C15" s="34" t="s">
        <v>185</v>
      </c>
      <c r="D15" s="34"/>
      <c r="E15" s="2"/>
      <c r="F15" s="2"/>
      <c r="G15" s="2"/>
      <c r="H15" s="2"/>
      <c r="I15" s="2"/>
      <c r="J15" s="2"/>
      <c r="K15" s="2"/>
      <c r="L15" s="2"/>
      <c r="M15" s="2"/>
      <c r="N15" s="2"/>
      <c r="O15" s="2"/>
      <c r="P15" s="2"/>
      <c r="Q15" s="2"/>
      <c r="R15" s="2"/>
      <c r="S15" s="2"/>
      <c r="T15" s="2"/>
      <c r="U15" s="2"/>
      <c r="V15" s="2"/>
      <c r="W15" s="2"/>
      <c r="X15" s="2"/>
      <c r="Y15" s="2"/>
      <c r="Z15" s="2"/>
    </row>
    <row r="16" spans="1:26" ht="57.6">
      <c r="A16" s="34">
        <v>9</v>
      </c>
      <c r="B16" s="35" t="s">
        <v>193</v>
      </c>
      <c r="C16" s="34" t="s">
        <v>185</v>
      </c>
      <c r="D16" s="34"/>
      <c r="E16" s="2"/>
      <c r="F16" s="2"/>
      <c r="G16" s="2"/>
      <c r="H16" s="2"/>
      <c r="I16" s="2"/>
      <c r="J16" s="2"/>
      <c r="K16" s="2"/>
      <c r="L16" s="2"/>
      <c r="M16" s="2"/>
      <c r="N16" s="2"/>
      <c r="O16" s="2"/>
      <c r="P16" s="2"/>
      <c r="Q16" s="2"/>
      <c r="R16" s="2"/>
      <c r="S16" s="2"/>
      <c r="T16" s="2"/>
      <c r="U16" s="2"/>
      <c r="V16" s="2"/>
      <c r="W16" s="2"/>
      <c r="X16" s="2"/>
      <c r="Y16" s="2"/>
      <c r="Z16" s="2"/>
    </row>
    <row r="17" spans="1:26" ht="18">
      <c r="A17" s="86" t="s">
        <v>194</v>
      </c>
      <c r="B17" s="72"/>
      <c r="C17" s="45">
        <v>7</v>
      </c>
      <c r="D17" s="45">
        <v>2</v>
      </c>
      <c r="E17" s="2"/>
      <c r="F17" s="2"/>
      <c r="G17" s="2"/>
      <c r="H17" s="2"/>
      <c r="I17" s="2"/>
      <c r="J17" s="2"/>
      <c r="K17" s="2"/>
      <c r="L17" s="2"/>
      <c r="M17" s="2"/>
      <c r="N17" s="2"/>
      <c r="O17" s="2"/>
      <c r="P17" s="2"/>
      <c r="Q17" s="2"/>
      <c r="R17" s="2"/>
      <c r="S17" s="2"/>
      <c r="T17" s="2"/>
      <c r="U17" s="2"/>
      <c r="V17" s="2"/>
      <c r="W17" s="2"/>
      <c r="X17" s="2"/>
      <c r="Y17" s="2"/>
      <c r="Z17" s="2"/>
    </row>
    <row r="18" spans="1:26" ht="18">
      <c r="A18" s="86" t="s">
        <v>195</v>
      </c>
      <c r="B18" s="72"/>
      <c r="C18" s="39">
        <f t="shared" ref="C18:D18" si="0">C17/9</f>
        <v>0.77777777777777779</v>
      </c>
      <c r="D18" s="39">
        <f t="shared" si="0"/>
        <v>0.22222222222222221</v>
      </c>
      <c r="E18" s="2"/>
      <c r="F18" s="2"/>
      <c r="G18" s="2"/>
      <c r="H18" s="2"/>
      <c r="I18" s="2"/>
      <c r="J18" s="2"/>
      <c r="K18" s="2"/>
      <c r="L18" s="2"/>
      <c r="M18" s="2"/>
      <c r="N18" s="2"/>
      <c r="O18" s="2"/>
      <c r="P18" s="2"/>
      <c r="Q18" s="2"/>
      <c r="R18" s="2"/>
      <c r="S18" s="2"/>
      <c r="T18" s="2"/>
      <c r="U18" s="2"/>
      <c r="V18" s="2"/>
      <c r="W18" s="2"/>
      <c r="X18" s="2"/>
      <c r="Y18" s="2"/>
      <c r="Z18" s="2"/>
    </row>
    <row r="19" spans="1:26" ht="14.25" customHeight="1">
      <c r="A19" s="40"/>
      <c r="B19" s="40"/>
      <c r="C19" s="41"/>
      <c r="D19" s="2"/>
      <c r="E19" s="2"/>
      <c r="F19" s="2"/>
      <c r="G19" s="2"/>
      <c r="H19" s="2"/>
      <c r="I19" s="2"/>
      <c r="J19" s="2"/>
      <c r="K19" s="2"/>
      <c r="L19" s="2"/>
      <c r="M19" s="2"/>
      <c r="N19" s="2"/>
      <c r="O19" s="2"/>
      <c r="P19" s="2"/>
      <c r="Q19" s="2"/>
      <c r="R19" s="2"/>
      <c r="S19" s="2"/>
      <c r="T19" s="2"/>
      <c r="U19" s="2"/>
      <c r="V19" s="2"/>
      <c r="W19" s="2"/>
      <c r="X19" s="2"/>
      <c r="Y19" s="2"/>
      <c r="Z19" s="2"/>
    </row>
    <row r="20" spans="1:26" ht="23.4">
      <c r="A20" s="88" t="s">
        <v>196</v>
      </c>
      <c r="B20" s="71"/>
      <c r="C20" s="71"/>
      <c r="D20" s="72"/>
      <c r="E20" s="2"/>
      <c r="F20" s="2"/>
      <c r="G20" s="2"/>
      <c r="H20" s="2"/>
      <c r="I20" s="2"/>
      <c r="J20" s="2"/>
      <c r="K20" s="2"/>
      <c r="L20" s="2"/>
      <c r="M20" s="2"/>
      <c r="N20" s="2"/>
      <c r="O20" s="2"/>
      <c r="P20" s="2"/>
      <c r="Q20" s="2"/>
      <c r="R20" s="2"/>
      <c r="S20" s="2"/>
      <c r="T20" s="2"/>
      <c r="U20" s="2"/>
      <c r="V20" s="2"/>
      <c r="W20" s="2"/>
      <c r="X20" s="2"/>
      <c r="Y20" s="2"/>
      <c r="Z20" s="2"/>
    </row>
    <row r="21" spans="1:26" ht="15.75" customHeight="1">
      <c r="A21" s="42" t="s">
        <v>180</v>
      </c>
      <c r="B21" s="42" t="s">
        <v>181</v>
      </c>
      <c r="C21" s="43" t="s">
        <v>182</v>
      </c>
      <c r="D21" s="43" t="s">
        <v>183</v>
      </c>
      <c r="E21" s="2"/>
      <c r="F21" s="2"/>
      <c r="G21" s="2"/>
      <c r="H21" s="2"/>
      <c r="I21" s="2"/>
      <c r="J21" s="2"/>
      <c r="K21" s="2"/>
      <c r="L21" s="2"/>
      <c r="M21" s="2"/>
      <c r="N21" s="2"/>
      <c r="O21" s="2"/>
      <c r="P21" s="2"/>
      <c r="Q21" s="2"/>
      <c r="R21" s="2"/>
      <c r="S21" s="2"/>
      <c r="T21" s="2"/>
      <c r="U21" s="2"/>
      <c r="V21" s="2"/>
      <c r="W21" s="2"/>
      <c r="X21" s="2"/>
      <c r="Y21" s="2"/>
      <c r="Z21" s="2"/>
    </row>
    <row r="22" spans="1:26" ht="15.75" customHeight="1">
      <c r="A22" s="34">
        <v>1</v>
      </c>
      <c r="B22" s="35" t="s">
        <v>197</v>
      </c>
      <c r="C22" s="34" t="s">
        <v>185</v>
      </c>
      <c r="D22" s="34"/>
      <c r="E22" s="2"/>
      <c r="F22" s="2"/>
      <c r="G22" s="2"/>
      <c r="H22" s="2"/>
      <c r="I22" s="2"/>
      <c r="J22" s="2"/>
      <c r="K22" s="2"/>
      <c r="L22" s="2"/>
      <c r="M22" s="2"/>
      <c r="N22" s="2"/>
      <c r="O22" s="2"/>
      <c r="P22" s="2"/>
      <c r="Q22" s="2"/>
      <c r="R22" s="2"/>
      <c r="S22" s="2"/>
      <c r="T22" s="2"/>
      <c r="U22" s="2"/>
      <c r="V22" s="2"/>
      <c r="W22" s="2"/>
      <c r="X22" s="2"/>
      <c r="Y22" s="2"/>
      <c r="Z22" s="2"/>
    </row>
    <row r="23" spans="1:26" ht="15.75" customHeight="1">
      <c r="A23" s="34">
        <v>2</v>
      </c>
      <c r="B23" s="35" t="s">
        <v>198</v>
      </c>
      <c r="C23" s="34" t="s">
        <v>185</v>
      </c>
      <c r="D23" s="34"/>
      <c r="E23" s="2"/>
      <c r="F23" s="2"/>
      <c r="G23" s="2"/>
      <c r="H23" s="2"/>
      <c r="I23" s="2"/>
      <c r="J23" s="2"/>
      <c r="K23" s="2"/>
      <c r="L23" s="2"/>
      <c r="M23" s="2"/>
      <c r="N23" s="2"/>
      <c r="O23" s="2"/>
      <c r="P23" s="2"/>
      <c r="Q23" s="2"/>
      <c r="R23" s="2"/>
      <c r="S23" s="2"/>
      <c r="T23" s="2"/>
      <c r="U23" s="2"/>
      <c r="V23" s="2"/>
      <c r="W23" s="2"/>
      <c r="X23" s="2"/>
      <c r="Y23" s="2"/>
      <c r="Z23" s="2"/>
    </row>
    <row r="24" spans="1:26" ht="15.75" customHeight="1">
      <c r="A24" s="34">
        <v>3</v>
      </c>
      <c r="B24" s="35" t="s">
        <v>199</v>
      </c>
      <c r="C24" s="34" t="s">
        <v>185</v>
      </c>
      <c r="D24" s="34"/>
      <c r="E24" s="2"/>
      <c r="F24" s="2"/>
      <c r="G24" s="2"/>
      <c r="H24" s="2"/>
      <c r="I24" s="2"/>
      <c r="J24" s="2"/>
      <c r="K24" s="2"/>
      <c r="L24" s="2"/>
      <c r="M24" s="2"/>
      <c r="N24" s="2"/>
      <c r="O24" s="2"/>
      <c r="P24" s="2"/>
      <c r="Q24" s="2"/>
      <c r="R24" s="2"/>
      <c r="S24" s="2"/>
      <c r="T24" s="2"/>
      <c r="U24" s="2"/>
      <c r="V24" s="2"/>
      <c r="W24" s="2"/>
      <c r="X24" s="2"/>
      <c r="Y24" s="2"/>
      <c r="Z24" s="2"/>
    </row>
    <row r="25" spans="1:26" ht="15.75" customHeight="1">
      <c r="A25" s="34">
        <v>4</v>
      </c>
      <c r="B25" s="35" t="s">
        <v>200</v>
      </c>
      <c r="C25" s="34"/>
      <c r="D25" s="36" t="s">
        <v>185</v>
      </c>
      <c r="E25" s="2"/>
      <c r="F25" s="2"/>
      <c r="G25" s="2"/>
      <c r="H25" s="2"/>
      <c r="I25" s="2"/>
      <c r="J25" s="2"/>
      <c r="K25" s="2"/>
      <c r="L25" s="2"/>
      <c r="M25" s="2"/>
      <c r="N25" s="2"/>
      <c r="O25" s="2"/>
      <c r="P25" s="2"/>
      <c r="Q25" s="2"/>
      <c r="R25" s="2"/>
      <c r="S25" s="2"/>
      <c r="T25" s="2"/>
      <c r="U25" s="2"/>
      <c r="V25" s="2"/>
      <c r="W25" s="2"/>
      <c r="X25" s="2"/>
      <c r="Y25" s="2"/>
      <c r="Z25" s="2"/>
    </row>
    <row r="26" spans="1:26" ht="15.75" customHeight="1">
      <c r="A26" s="34">
        <v>5</v>
      </c>
      <c r="B26" s="35" t="s">
        <v>201</v>
      </c>
      <c r="C26" s="34" t="s">
        <v>185</v>
      </c>
      <c r="D26" s="34"/>
      <c r="E26" s="2"/>
      <c r="F26" s="2"/>
      <c r="G26" s="2"/>
      <c r="H26" s="2"/>
      <c r="I26" s="2"/>
      <c r="J26" s="2"/>
      <c r="K26" s="2"/>
      <c r="L26" s="2"/>
      <c r="M26" s="2"/>
      <c r="N26" s="2"/>
      <c r="O26" s="2"/>
      <c r="P26" s="2"/>
      <c r="Q26" s="2"/>
      <c r="R26" s="2"/>
      <c r="S26" s="2"/>
      <c r="T26" s="2"/>
      <c r="U26" s="2"/>
      <c r="V26" s="2"/>
      <c r="W26" s="2"/>
      <c r="X26" s="2"/>
      <c r="Y26" s="2"/>
      <c r="Z26" s="2"/>
    </row>
    <row r="27" spans="1:26" ht="15.75" customHeight="1">
      <c r="A27" s="86" t="s">
        <v>194</v>
      </c>
      <c r="B27" s="72"/>
      <c r="C27" s="45">
        <v>4</v>
      </c>
      <c r="D27" s="45">
        <v>1</v>
      </c>
      <c r="E27" s="2"/>
      <c r="F27" s="2"/>
      <c r="G27" s="2"/>
      <c r="H27" s="2"/>
      <c r="I27" s="2"/>
      <c r="J27" s="2"/>
      <c r="K27" s="2"/>
      <c r="L27" s="2"/>
      <c r="M27" s="2"/>
      <c r="N27" s="2"/>
      <c r="O27" s="2"/>
      <c r="P27" s="2"/>
      <c r="Q27" s="2"/>
      <c r="R27" s="2"/>
      <c r="S27" s="2"/>
      <c r="T27" s="2"/>
      <c r="U27" s="2"/>
      <c r="V27" s="2"/>
      <c r="W27" s="2"/>
      <c r="X27" s="2"/>
      <c r="Y27" s="2"/>
      <c r="Z27" s="2"/>
    </row>
    <row r="28" spans="1:26" ht="15.75" customHeight="1">
      <c r="A28" s="86" t="s">
        <v>195</v>
      </c>
      <c r="B28" s="72"/>
      <c r="C28" s="39">
        <f t="shared" ref="C28:D28" si="1">C27/5</f>
        <v>0.8</v>
      </c>
      <c r="D28" s="39">
        <f t="shared" si="1"/>
        <v>0.2</v>
      </c>
      <c r="E28" s="2"/>
      <c r="F28" s="2"/>
      <c r="G28" s="2"/>
      <c r="H28" s="2"/>
      <c r="I28" s="2"/>
      <c r="J28" s="2"/>
      <c r="K28" s="2"/>
      <c r="L28" s="2"/>
      <c r="M28" s="2"/>
      <c r="N28" s="2"/>
      <c r="O28" s="2"/>
      <c r="P28" s="2"/>
      <c r="Q28" s="2"/>
      <c r="R28" s="2"/>
      <c r="S28" s="2"/>
      <c r="T28" s="2"/>
      <c r="U28" s="2"/>
      <c r="V28" s="2"/>
      <c r="W28" s="2"/>
      <c r="X28" s="2"/>
      <c r="Y28" s="2"/>
      <c r="Z28" s="2"/>
    </row>
    <row r="29" spans="1:26" ht="14.25" customHeight="1">
      <c r="A29" s="40"/>
      <c r="B29" s="40"/>
      <c r="C29" s="41"/>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88" t="s">
        <v>202</v>
      </c>
      <c r="B30" s="71"/>
      <c r="C30" s="71"/>
      <c r="D30" s="72"/>
      <c r="E30" s="2"/>
      <c r="F30" s="2"/>
      <c r="G30" s="2"/>
      <c r="H30" s="2"/>
      <c r="I30" s="2"/>
      <c r="J30" s="2"/>
      <c r="K30" s="2"/>
      <c r="L30" s="2"/>
      <c r="M30" s="2"/>
      <c r="N30" s="2"/>
      <c r="O30" s="2"/>
      <c r="P30" s="2"/>
      <c r="Q30" s="2"/>
      <c r="R30" s="2"/>
      <c r="S30" s="2"/>
      <c r="T30" s="2"/>
      <c r="U30" s="2"/>
      <c r="V30" s="2"/>
      <c r="W30" s="2"/>
      <c r="X30" s="2"/>
      <c r="Y30" s="2"/>
      <c r="Z30" s="2"/>
    </row>
    <row r="31" spans="1:26" ht="15.75" customHeight="1">
      <c r="A31" s="42" t="s">
        <v>180</v>
      </c>
      <c r="B31" s="42" t="s">
        <v>181</v>
      </c>
      <c r="C31" s="43" t="s">
        <v>182</v>
      </c>
      <c r="D31" s="43" t="s">
        <v>183</v>
      </c>
      <c r="E31" s="2"/>
      <c r="F31" s="2"/>
      <c r="G31" s="2"/>
      <c r="H31" s="2"/>
      <c r="I31" s="2"/>
      <c r="J31" s="2"/>
      <c r="K31" s="2"/>
      <c r="L31" s="2"/>
      <c r="M31" s="2"/>
      <c r="N31" s="2"/>
      <c r="O31" s="2"/>
      <c r="P31" s="2"/>
      <c r="Q31" s="2"/>
      <c r="R31" s="2"/>
      <c r="S31" s="2"/>
      <c r="T31" s="2"/>
      <c r="U31" s="2"/>
      <c r="V31" s="2"/>
      <c r="W31" s="2"/>
      <c r="X31" s="2"/>
      <c r="Y31" s="2"/>
      <c r="Z31" s="2"/>
    </row>
    <row r="32" spans="1:26" ht="15.75" customHeight="1">
      <c r="A32" s="34">
        <v>1</v>
      </c>
      <c r="B32" s="35" t="s">
        <v>203</v>
      </c>
      <c r="C32" s="34" t="s">
        <v>185</v>
      </c>
      <c r="D32" s="34"/>
      <c r="E32" s="2"/>
      <c r="F32" s="2"/>
      <c r="G32" s="2"/>
      <c r="H32" s="2"/>
      <c r="I32" s="2"/>
      <c r="J32" s="2"/>
      <c r="K32" s="2"/>
      <c r="L32" s="2"/>
      <c r="M32" s="2"/>
      <c r="N32" s="2"/>
      <c r="O32" s="2"/>
      <c r="P32" s="2"/>
      <c r="Q32" s="2"/>
      <c r="R32" s="2"/>
      <c r="S32" s="2"/>
      <c r="T32" s="2"/>
      <c r="U32" s="2"/>
      <c r="V32" s="2"/>
      <c r="W32" s="2"/>
      <c r="X32" s="2"/>
      <c r="Y32" s="2"/>
      <c r="Z32" s="2"/>
    </row>
    <row r="33" spans="1:26" ht="15.75" customHeight="1">
      <c r="A33" s="34">
        <v>2</v>
      </c>
      <c r="B33" s="35" t="s">
        <v>204</v>
      </c>
      <c r="C33" s="34" t="s">
        <v>185</v>
      </c>
      <c r="D33" s="34"/>
      <c r="E33" s="2"/>
      <c r="F33" s="2"/>
      <c r="G33" s="2"/>
      <c r="H33" s="2"/>
      <c r="I33" s="2"/>
      <c r="J33" s="2"/>
      <c r="K33" s="2"/>
      <c r="L33" s="2"/>
      <c r="M33" s="2"/>
      <c r="N33" s="2"/>
      <c r="O33" s="2"/>
      <c r="P33" s="2"/>
      <c r="Q33" s="2"/>
      <c r="R33" s="2"/>
      <c r="S33" s="2"/>
      <c r="T33" s="2"/>
      <c r="U33" s="2"/>
      <c r="V33" s="2"/>
      <c r="W33" s="2"/>
      <c r="X33" s="2"/>
      <c r="Y33" s="2"/>
      <c r="Z33" s="2"/>
    </row>
    <row r="34" spans="1:26" ht="15.75" customHeight="1">
      <c r="A34" s="34">
        <v>3</v>
      </c>
      <c r="B34" s="35" t="s">
        <v>205</v>
      </c>
      <c r="C34" s="34"/>
      <c r="D34" s="36" t="s">
        <v>185</v>
      </c>
      <c r="E34" s="2"/>
      <c r="F34" s="2"/>
      <c r="G34" s="2"/>
      <c r="H34" s="2"/>
      <c r="I34" s="2"/>
      <c r="J34" s="2"/>
      <c r="K34" s="2"/>
      <c r="L34" s="2"/>
      <c r="M34" s="2"/>
      <c r="N34" s="2"/>
      <c r="O34" s="2"/>
      <c r="P34" s="2"/>
      <c r="Q34" s="2"/>
      <c r="R34" s="2"/>
      <c r="S34" s="2"/>
      <c r="T34" s="2"/>
      <c r="U34" s="2"/>
      <c r="V34" s="2"/>
      <c r="W34" s="2"/>
      <c r="X34" s="2"/>
      <c r="Y34" s="2"/>
      <c r="Z34" s="2"/>
    </row>
    <row r="35" spans="1:26" ht="15.75" customHeight="1">
      <c r="A35" s="86" t="s">
        <v>194</v>
      </c>
      <c r="B35" s="72"/>
      <c r="C35" s="45">
        <v>2</v>
      </c>
      <c r="D35" s="45">
        <v>1</v>
      </c>
      <c r="E35" s="2"/>
      <c r="F35" s="2"/>
      <c r="G35" s="2"/>
      <c r="H35" s="2"/>
      <c r="I35" s="2"/>
      <c r="J35" s="2"/>
      <c r="K35" s="2"/>
      <c r="L35" s="2"/>
      <c r="M35" s="2"/>
      <c r="N35" s="2"/>
      <c r="O35" s="2"/>
      <c r="P35" s="2"/>
      <c r="Q35" s="2"/>
      <c r="R35" s="2"/>
      <c r="S35" s="2"/>
      <c r="T35" s="2"/>
      <c r="U35" s="2"/>
      <c r="V35" s="2"/>
      <c r="W35" s="2"/>
      <c r="X35" s="2"/>
      <c r="Y35" s="2"/>
      <c r="Z35" s="2"/>
    </row>
    <row r="36" spans="1:26" ht="15.75" customHeight="1">
      <c r="A36" s="86" t="s">
        <v>195</v>
      </c>
      <c r="B36" s="72"/>
      <c r="C36" s="39">
        <f t="shared" ref="C36:D36" si="2">C35/3</f>
        <v>0.66666666666666663</v>
      </c>
      <c r="D36" s="39">
        <f t="shared" si="2"/>
        <v>0.33333333333333331</v>
      </c>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87" t="s">
        <v>206</v>
      </c>
      <c r="C40" s="72"/>
      <c r="D40" s="48"/>
      <c r="E40" s="2"/>
      <c r="F40" s="2"/>
      <c r="G40" s="2"/>
      <c r="H40" s="2"/>
      <c r="I40" s="2"/>
      <c r="J40" s="2"/>
      <c r="K40" s="2"/>
      <c r="L40" s="2"/>
      <c r="M40" s="2"/>
      <c r="N40" s="2"/>
      <c r="O40" s="2"/>
      <c r="P40" s="2"/>
      <c r="Q40" s="2"/>
      <c r="R40" s="2"/>
      <c r="S40" s="2"/>
      <c r="T40" s="2"/>
      <c r="U40" s="2"/>
      <c r="V40" s="2"/>
      <c r="W40" s="2"/>
      <c r="X40" s="2"/>
      <c r="Y40" s="2"/>
      <c r="Z40" s="2"/>
    </row>
    <row r="41" spans="1:26" ht="30" customHeight="1">
      <c r="A41" s="2"/>
      <c r="B41" s="44" t="s">
        <v>207</v>
      </c>
      <c r="C41" s="45">
        <v>78</v>
      </c>
      <c r="D41" s="2"/>
      <c r="E41" s="2"/>
      <c r="F41" s="2"/>
      <c r="G41" s="2"/>
      <c r="H41" s="2"/>
      <c r="I41" s="2"/>
      <c r="J41" s="2"/>
      <c r="K41" s="2"/>
      <c r="L41" s="2"/>
      <c r="M41" s="2"/>
      <c r="N41" s="2"/>
      <c r="O41" s="2"/>
      <c r="P41" s="2"/>
      <c r="Q41" s="2"/>
      <c r="R41" s="2"/>
      <c r="S41" s="2"/>
      <c r="T41" s="2"/>
      <c r="U41" s="2"/>
      <c r="V41" s="2"/>
      <c r="W41" s="2"/>
      <c r="X41" s="2"/>
      <c r="Y41" s="2"/>
      <c r="Z41" s="2"/>
    </row>
    <row r="42" spans="1:26" ht="30" customHeight="1">
      <c r="A42" s="2"/>
      <c r="B42" s="44" t="s">
        <v>196</v>
      </c>
      <c r="C42" s="45">
        <v>80</v>
      </c>
      <c r="D42" s="2"/>
      <c r="E42" s="2"/>
      <c r="F42" s="2"/>
      <c r="G42" s="2"/>
      <c r="H42" s="2"/>
      <c r="I42" s="2"/>
      <c r="J42" s="2"/>
      <c r="K42" s="2"/>
      <c r="L42" s="2"/>
      <c r="M42" s="2"/>
      <c r="N42" s="2"/>
      <c r="O42" s="2"/>
      <c r="P42" s="2"/>
      <c r="Q42" s="2"/>
      <c r="R42" s="2"/>
      <c r="S42" s="2"/>
      <c r="T42" s="2"/>
      <c r="U42" s="2"/>
      <c r="V42" s="2"/>
      <c r="W42" s="2"/>
      <c r="X42" s="2"/>
      <c r="Y42" s="2"/>
      <c r="Z42" s="2"/>
    </row>
    <row r="43" spans="1:26" ht="30" customHeight="1">
      <c r="A43" s="2"/>
      <c r="B43" s="44" t="s">
        <v>202</v>
      </c>
      <c r="C43" s="45">
        <v>67</v>
      </c>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31" priority="1" operator="containsText" text="X">
      <formula>NOT(ISERROR(SEARCH(("X"),(A32))))</formula>
    </cfRule>
  </conditionalFormatting>
  <conditionalFormatting sqref="C8:D16 C22:C26 C32:D34 H8:I16 H22:H26 H32:I34 M8:N16 M22:M26 M32:N34">
    <cfRule type="containsText" dxfId="30" priority="2" operator="containsText" text="X">
      <formula>NOT(ISERROR(SEARCH(("X"),(C8))))</formula>
    </cfRule>
  </conditionalFormatting>
  <conditionalFormatting sqref="C8:D16 C22:C26 C32:D34 H8:I16 H22:H26 H32:I34 M8:N16 M22:M26 M32:N34">
    <cfRule type="containsText" dxfId="29" priority="3" operator="containsText" text="X">
      <formula>NOT(ISERROR(SEARCH(("X"),(C8))))</formula>
    </cfRule>
  </conditionalFormatting>
  <conditionalFormatting sqref="C8:D16 C22:C26 C32:D34 H8:I16 H22:H26 H32:I34 M8:N16 M22:M26 M32:N34">
    <cfRule type="containsText" dxfId="28" priority="4" operator="containsText" text="X">
      <formula>NOT(ISERROR(SEARCH(("X"),(C8))))</formula>
    </cfRule>
  </conditionalFormatting>
  <conditionalFormatting sqref="C22:D26 H22:I26 M22:N26">
    <cfRule type="containsText" dxfId="27" priority="5" operator="containsText" text="X">
      <formula>NOT(ISERROR(SEARCH(("X"),(C22))))</formula>
    </cfRule>
  </conditionalFormatting>
  <conditionalFormatting sqref="C22:D26 H22:I26 M22:N26">
    <cfRule type="containsText" dxfId="26" priority="6" operator="containsText" text="X">
      <formula>NOT(ISERROR(SEARCH(("X"),(C22))))</formula>
    </cfRule>
  </conditionalFormatting>
  <conditionalFormatting sqref="C8:D16 C22:C26 C32:D34 H8:I16 H22:H26 H32:I34 M8:N16 M22:M26 M32:N34">
    <cfRule type="containsText" dxfId="25" priority="7" operator="containsText" text="X">
      <formula>NOT(ISERROR(SEARCH(("X"),(C8))))</formula>
    </cfRule>
  </conditionalFormatting>
  <conditionalFormatting sqref="C32:D34 H32:I34 M32:N34">
    <cfRule type="containsText" dxfId="24"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60" zoomScaleNormal="60" workbookViewId="0">
      <selection activeCell="C4" sqref="C4:D4"/>
    </sheetView>
  </sheetViews>
  <sheetFormatPr baseColWidth="10" defaultColWidth="14.44140625" defaultRowHeight="15" customHeight="1"/>
  <cols>
    <col min="1" max="1" width="10.6640625" customWidth="1"/>
    <col min="2" max="2" width="36.6640625" customWidth="1"/>
    <col min="3" max="3" width="23" customWidth="1"/>
    <col min="4" max="4" width="20.6640625"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24" width="10.6640625" customWidth="1"/>
  </cols>
  <sheetData>
    <row r="1" spans="1:26" ht="18">
      <c r="A1" s="81" t="s">
        <v>1</v>
      </c>
      <c r="B1" s="72"/>
      <c r="C1" s="82" t="s">
        <v>2</v>
      </c>
      <c r="D1" s="72"/>
      <c r="E1" s="32"/>
      <c r="F1" s="2"/>
      <c r="G1" s="2"/>
      <c r="H1" s="2"/>
      <c r="I1" s="2"/>
      <c r="J1" s="2"/>
      <c r="K1" s="2"/>
      <c r="L1" s="2"/>
      <c r="M1" s="2"/>
      <c r="N1" s="2"/>
      <c r="O1" s="32"/>
      <c r="P1" s="32"/>
      <c r="Q1" s="32"/>
      <c r="R1" s="32"/>
      <c r="S1" s="32"/>
      <c r="T1" s="32"/>
      <c r="U1" s="32"/>
      <c r="V1" s="32"/>
      <c r="W1" s="32"/>
      <c r="X1" s="32"/>
      <c r="Y1" s="32"/>
      <c r="Z1" s="32"/>
    </row>
    <row r="2" spans="1:26" ht="18">
      <c r="A2" s="83" t="s">
        <v>175</v>
      </c>
      <c r="B2" s="72"/>
      <c r="C2" s="84">
        <v>46160</v>
      </c>
      <c r="D2" s="72"/>
      <c r="E2" s="2"/>
      <c r="F2" s="2"/>
      <c r="G2" s="2"/>
      <c r="H2" s="2"/>
      <c r="I2" s="2"/>
      <c r="J2" s="2"/>
      <c r="K2" s="2"/>
      <c r="L2" s="2"/>
      <c r="M2" s="2"/>
      <c r="N2" s="2"/>
      <c r="O2" s="2"/>
      <c r="P2" s="2"/>
      <c r="Q2" s="2"/>
      <c r="R2" s="2"/>
      <c r="S2" s="2"/>
      <c r="T2" s="2"/>
      <c r="U2" s="2"/>
      <c r="V2" s="2"/>
      <c r="W2" s="2"/>
      <c r="X2" s="2"/>
      <c r="Y2" s="2"/>
      <c r="Z2" s="2"/>
    </row>
    <row r="3" spans="1:26" ht="18">
      <c r="A3" s="83" t="s">
        <v>176</v>
      </c>
      <c r="B3" s="72"/>
      <c r="C3" s="85" t="s">
        <v>209</v>
      </c>
      <c r="D3" s="72"/>
      <c r="E3" s="2"/>
      <c r="F3" s="2"/>
      <c r="G3" s="2"/>
      <c r="H3" s="2"/>
      <c r="I3" s="2"/>
      <c r="J3" s="2"/>
      <c r="K3" s="2"/>
      <c r="L3" s="2"/>
      <c r="M3" s="2"/>
      <c r="N3" s="2"/>
      <c r="O3" s="2"/>
      <c r="P3" s="2"/>
      <c r="Q3" s="2"/>
      <c r="R3" s="2"/>
      <c r="S3" s="2"/>
      <c r="T3" s="2"/>
      <c r="U3" s="2"/>
      <c r="V3" s="2"/>
      <c r="W3" s="2"/>
      <c r="X3" s="2"/>
      <c r="Y3" s="2"/>
      <c r="Z3" s="2"/>
    </row>
    <row r="4" spans="1:26" ht="18" customHeight="1">
      <c r="A4" s="83" t="s">
        <v>178</v>
      </c>
      <c r="B4" s="72"/>
      <c r="C4" s="85" t="s">
        <v>267</v>
      </c>
      <c r="D4" s="72"/>
      <c r="E4" s="2"/>
      <c r="F4" s="2"/>
      <c r="G4" s="2"/>
      <c r="H4" s="2"/>
      <c r="I4" s="2"/>
      <c r="J4" s="2"/>
      <c r="K4" s="2"/>
      <c r="L4" s="2"/>
      <c r="M4" s="2"/>
      <c r="N4" s="2"/>
      <c r="O4" s="2"/>
      <c r="P4" s="2"/>
      <c r="Q4" s="2"/>
      <c r="R4" s="2"/>
      <c r="S4" s="2"/>
      <c r="T4" s="2"/>
      <c r="U4" s="2"/>
      <c r="V4" s="2"/>
      <c r="W4" s="2"/>
      <c r="X4" s="2"/>
      <c r="Y4" s="2"/>
      <c r="Z4" s="2"/>
    </row>
    <row r="5" spans="1:26" ht="14.25" customHeight="1">
      <c r="A5" s="2"/>
      <c r="B5" s="2"/>
      <c r="C5" s="2"/>
      <c r="D5" s="2"/>
      <c r="E5" s="2"/>
      <c r="F5" s="2"/>
      <c r="G5" s="2"/>
      <c r="H5" s="2"/>
      <c r="I5" s="2"/>
      <c r="J5" s="2"/>
      <c r="K5" s="2"/>
      <c r="L5" s="2"/>
      <c r="M5" s="2"/>
      <c r="N5" s="2"/>
      <c r="O5" s="2"/>
      <c r="P5" s="2"/>
      <c r="Q5" s="2"/>
      <c r="R5" s="2"/>
      <c r="S5" s="2"/>
      <c r="T5" s="2"/>
      <c r="U5" s="2"/>
      <c r="V5" s="2"/>
      <c r="W5" s="2"/>
      <c r="X5" s="2"/>
      <c r="Y5" s="2"/>
      <c r="Z5" s="2"/>
    </row>
    <row r="6" spans="1:26" ht="23.4">
      <c r="A6" s="88" t="s">
        <v>179</v>
      </c>
      <c r="B6" s="71"/>
      <c r="C6" s="71"/>
      <c r="D6" s="72"/>
      <c r="E6" s="2"/>
      <c r="F6" s="2"/>
      <c r="G6" s="2"/>
      <c r="H6" s="2"/>
      <c r="I6" s="2"/>
      <c r="J6" s="2"/>
      <c r="K6" s="2"/>
      <c r="L6" s="2"/>
      <c r="M6" s="2"/>
      <c r="N6" s="2"/>
      <c r="O6" s="2"/>
      <c r="P6" s="2"/>
      <c r="Q6" s="2"/>
      <c r="R6" s="2"/>
      <c r="S6" s="2"/>
      <c r="T6" s="2"/>
      <c r="U6" s="2"/>
      <c r="V6" s="2"/>
      <c r="W6" s="2"/>
      <c r="X6" s="2"/>
      <c r="Y6" s="2"/>
      <c r="Z6" s="2"/>
    </row>
    <row r="7" spans="1:26" ht="18">
      <c r="A7" s="33" t="s">
        <v>180</v>
      </c>
      <c r="B7" s="33" t="s">
        <v>181</v>
      </c>
      <c r="C7" s="33" t="s">
        <v>182</v>
      </c>
      <c r="D7" s="33" t="s">
        <v>183</v>
      </c>
      <c r="E7" s="2"/>
      <c r="F7" s="2"/>
      <c r="G7" s="2"/>
      <c r="H7" s="2"/>
      <c r="I7" s="2"/>
      <c r="J7" s="2"/>
      <c r="K7" s="2"/>
      <c r="L7" s="2"/>
      <c r="M7" s="2"/>
      <c r="N7" s="2"/>
      <c r="O7" s="2"/>
      <c r="P7" s="2"/>
      <c r="Q7" s="2"/>
      <c r="R7" s="2"/>
      <c r="S7" s="2"/>
      <c r="T7" s="2"/>
      <c r="U7" s="2"/>
      <c r="V7" s="2"/>
      <c r="W7" s="2"/>
      <c r="X7" s="2"/>
      <c r="Y7" s="2"/>
      <c r="Z7" s="2"/>
    </row>
    <row r="8" spans="1:26" ht="28.8">
      <c r="A8" s="34">
        <v>1</v>
      </c>
      <c r="B8" s="35" t="s">
        <v>184</v>
      </c>
      <c r="C8" s="34" t="s">
        <v>185</v>
      </c>
      <c r="D8" s="34"/>
      <c r="E8" s="2"/>
      <c r="F8" s="2"/>
      <c r="G8" s="2"/>
      <c r="H8" s="2"/>
      <c r="I8" s="2"/>
      <c r="J8" s="2"/>
      <c r="K8" s="2"/>
      <c r="L8" s="2"/>
      <c r="M8" s="2"/>
      <c r="N8" s="2"/>
      <c r="O8" s="2"/>
      <c r="P8" s="2"/>
      <c r="Q8" s="2"/>
      <c r="R8" s="2"/>
      <c r="S8" s="2"/>
      <c r="T8" s="2"/>
      <c r="U8" s="2"/>
      <c r="V8" s="2"/>
      <c r="W8" s="2"/>
      <c r="X8" s="2"/>
      <c r="Y8" s="2"/>
      <c r="Z8" s="2"/>
    </row>
    <row r="9" spans="1:26" ht="28.8">
      <c r="A9" s="34">
        <v>2</v>
      </c>
      <c r="B9" s="35" t="s">
        <v>186</v>
      </c>
      <c r="C9" s="34" t="s">
        <v>185</v>
      </c>
      <c r="D9" s="34"/>
      <c r="E9" s="2"/>
      <c r="F9" s="2"/>
      <c r="G9" s="2"/>
      <c r="H9" s="2"/>
      <c r="I9" s="2"/>
      <c r="J9" s="2"/>
      <c r="K9" s="2"/>
      <c r="L9" s="2"/>
      <c r="M9" s="2"/>
      <c r="N9" s="2"/>
      <c r="O9" s="2"/>
      <c r="P9" s="2"/>
      <c r="Q9" s="2"/>
      <c r="R9" s="2"/>
      <c r="S9" s="2"/>
      <c r="T9" s="2"/>
      <c r="U9" s="2"/>
      <c r="V9" s="2"/>
      <c r="W9" s="2"/>
      <c r="X9" s="2"/>
      <c r="Y9" s="2"/>
      <c r="Z9" s="2"/>
    </row>
    <row r="10" spans="1:26" ht="57.6">
      <c r="A10" s="34">
        <v>3</v>
      </c>
      <c r="B10" s="35" t="s">
        <v>187</v>
      </c>
      <c r="C10" s="34"/>
      <c r="D10" s="37" t="s">
        <v>185</v>
      </c>
      <c r="E10" s="2"/>
      <c r="F10" s="2"/>
      <c r="G10" s="2"/>
      <c r="H10" s="2"/>
      <c r="I10" s="2"/>
      <c r="J10" s="2"/>
      <c r="K10" s="2"/>
      <c r="L10" s="2"/>
      <c r="M10" s="2"/>
      <c r="N10" s="2"/>
      <c r="O10" s="2"/>
      <c r="P10" s="2"/>
      <c r="Q10" s="2"/>
      <c r="R10" s="2"/>
      <c r="S10" s="2"/>
      <c r="T10" s="2"/>
      <c r="U10" s="2"/>
      <c r="V10" s="2"/>
      <c r="W10" s="2"/>
      <c r="X10" s="2"/>
      <c r="Y10" s="2"/>
      <c r="Z10" s="2"/>
    </row>
    <row r="11" spans="1:26" ht="28.8">
      <c r="A11" s="34">
        <v>4</v>
      </c>
      <c r="B11" s="35" t="s">
        <v>188</v>
      </c>
      <c r="C11" s="34" t="s">
        <v>185</v>
      </c>
      <c r="D11" s="34"/>
      <c r="E11" s="2"/>
      <c r="F11" s="2"/>
      <c r="G11" s="2"/>
      <c r="H11" s="2"/>
      <c r="I11" s="2"/>
      <c r="J11" s="2"/>
      <c r="K11" s="2"/>
      <c r="L11" s="2"/>
      <c r="M11" s="2"/>
      <c r="N11" s="2"/>
      <c r="O11" s="2"/>
      <c r="P11" s="2"/>
      <c r="Q11" s="2"/>
      <c r="R11" s="2"/>
      <c r="S11" s="2"/>
      <c r="T11" s="2"/>
      <c r="U11" s="2"/>
      <c r="V11" s="2"/>
      <c r="W11" s="2"/>
      <c r="X11" s="2"/>
      <c r="Y11" s="2"/>
      <c r="Z11" s="2"/>
    </row>
    <row r="12" spans="1:26" ht="28.8">
      <c r="A12" s="34">
        <v>5</v>
      </c>
      <c r="B12" s="35" t="s">
        <v>189</v>
      </c>
      <c r="C12" s="34" t="s">
        <v>185</v>
      </c>
      <c r="D12" s="34"/>
      <c r="E12" s="2"/>
      <c r="F12" s="2"/>
      <c r="G12" s="2"/>
      <c r="H12" s="2"/>
      <c r="I12" s="2"/>
      <c r="J12" s="2"/>
      <c r="K12" s="2"/>
      <c r="L12" s="2"/>
      <c r="M12" s="2"/>
      <c r="N12" s="2"/>
      <c r="O12" s="2"/>
      <c r="P12" s="2"/>
      <c r="Q12" s="2"/>
      <c r="R12" s="2"/>
      <c r="S12" s="2"/>
      <c r="T12" s="2"/>
      <c r="U12" s="2"/>
      <c r="V12" s="2"/>
      <c r="W12" s="2"/>
      <c r="X12" s="2"/>
      <c r="Y12" s="2"/>
      <c r="Z12" s="2"/>
    </row>
    <row r="13" spans="1:26" ht="28.8">
      <c r="A13" s="34">
        <v>6</v>
      </c>
      <c r="B13" s="35" t="s">
        <v>190</v>
      </c>
      <c r="C13" s="34" t="s">
        <v>185</v>
      </c>
      <c r="D13" s="34"/>
      <c r="E13" s="2"/>
      <c r="F13" s="2"/>
      <c r="G13" s="2"/>
      <c r="H13" s="2"/>
      <c r="I13" s="2"/>
      <c r="J13" s="2"/>
      <c r="K13" s="2"/>
      <c r="L13" s="2"/>
      <c r="M13" s="2"/>
      <c r="N13" s="2"/>
      <c r="O13" s="2"/>
      <c r="P13" s="2"/>
      <c r="Q13" s="2"/>
      <c r="R13" s="2"/>
      <c r="S13" s="2"/>
      <c r="T13" s="2"/>
      <c r="U13" s="2"/>
      <c r="V13" s="2"/>
      <c r="W13" s="2"/>
      <c r="X13" s="2"/>
      <c r="Y13" s="2"/>
      <c r="Z13" s="2"/>
    </row>
    <row r="14" spans="1:26" ht="28.8">
      <c r="A14" s="34">
        <v>7</v>
      </c>
      <c r="B14" s="35" t="s">
        <v>191</v>
      </c>
      <c r="C14" s="34"/>
      <c r="D14" s="36" t="s">
        <v>185</v>
      </c>
      <c r="E14" s="2"/>
      <c r="F14" s="2"/>
      <c r="G14" s="2"/>
      <c r="H14" s="2"/>
      <c r="I14" s="2"/>
      <c r="J14" s="2"/>
      <c r="K14" s="2"/>
      <c r="L14" s="2"/>
      <c r="M14" s="2"/>
      <c r="N14" s="2"/>
      <c r="O14" s="2"/>
      <c r="P14" s="2"/>
      <c r="Q14" s="2"/>
      <c r="R14" s="2"/>
      <c r="S14" s="2"/>
      <c r="T14" s="2"/>
      <c r="U14" s="2"/>
      <c r="V14" s="2"/>
      <c r="W14" s="2"/>
      <c r="X14" s="2"/>
      <c r="Y14" s="2"/>
      <c r="Z14" s="2"/>
    </row>
    <row r="15" spans="1:26" ht="43.2">
      <c r="A15" s="34">
        <v>8</v>
      </c>
      <c r="B15" s="35" t="s">
        <v>192</v>
      </c>
      <c r="C15" s="34" t="s">
        <v>185</v>
      </c>
      <c r="D15" s="34"/>
      <c r="E15" s="2"/>
      <c r="F15" s="2"/>
      <c r="G15" s="2"/>
      <c r="H15" s="2"/>
      <c r="I15" s="2"/>
      <c r="J15" s="2"/>
      <c r="K15" s="2"/>
      <c r="L15" s="2"/>
      <c r="M15" s="2"/>
      <c r="N15" s="2"/>
      <c r="O15" s="2"/>
      <c r="P15" s="2"/>
      <c r="Q15" s="2"/>
      <c r="R15" s="2"/>
      <c r="S15" s="2"/>
      <c r="T15" s="2"/>
      <c r="U15" s="2"/>
      <c r="V15" s="2"/>
      <c r="W15" s="2"/>
      <c r="X15" s="2"/>
      <c r="Y15" s="2"/>
      <c r="Z15" s="2"/>
    </row>
    <row r="16" spans="1:26" ht="57.6">
      <c r="A16" s="34">
        <v>9</v>
      </c>
      <c r="B16" s="35" t="s">
        <v>193</v>
      </c>
      <c r="C16" s="34" t="s">
        <v>185</v>
      </c>
      <c r="D16" s="34"/>
      <c r="E16" s="2"/>
      <c r="F16" s="2"/>
      <c r="G16" s="2"/>
      <c r="H16" s="2"/>
      <c r="I16" s="2"/>
      <c r="J16" s="2"/>
      <c r="K16" s="2"/>
      <c r="L16" s="2"/>
      <c r="M16" s="2"/>
      <c r="N16" s="2"/>
      <c r="O16" s="2"/>
      <c r="P16" s="2"/>
      <c r="Q16" s="2"/>
      <c r="R16" s="2"/>
      <c r="S16" s="2"/>
      <c r="T16" s="2"/>
      <c r="U16" s="2"/>
      <c r="V16" s="2"/>
      <c r="W16" s="2"/>
      <c r="X16" s="2"/>
      <c r="Y16" s="2"/>
      <c r="Z16" s="2"/>
    </row>
    <row r="17" spans="1:26" ht="18">
      <c r="A17" s="86" t="s">
        <v>194</v>
      </c>
      <c r="B17" s="72"/>
      <c r="C17" s="45">
        <v>7</v>
      </c>
      <c r="D17" s="45">
        <v>2</v>
      </c>
      <c r="E17" s="2"/>
      <c r="F17" s="2"/>
      <c r="G17" s="2"/>
      <c r="H17" s="2"/>
      <c r="I17" s="2"/>
      <c r="J17" s="2"/>
      <c r="K17" s="2"/>
      <c r="L17" s="2"/>
      <c r="M17" s="2"/>
      <c r="N17" s="2"/>
      <c r="O17" s="2"/>
      <c r="P17" s="2"/>
      <c r="Q17" s="2"/>
      <c r="R17" s="2"/>
      <c r="S17" s="2"/>
      <c r="T17" s="2"/>
      <c r="U17" s="2"/>
      <c r="V17" s="2"/>
      <c r="W17" s="2"/>
      <c r="X17" s="2"/>
      <c r="Y17" s="2"/>
      <c r="Z17" s="2"/>
    </row>
    <row r="18" spans="1:26" ht="18">
      <c r="A18" s="86" t="s">
        <v>195</v>
      </c>
      <c r="B18" s="72"/>
      <c r="C18" s="39">
        <f t="shared" ref="C18:D18" si="0">C17/9</f>
        <v>0.77777777777777779</v>
      </c>
      <c r="D18" s="39">
        <f t="shared" si="0"/>
        <v>0.22222222222222221</v>
      </c>
      <c r="E18" s="2"/>
      <c r="F18" s="2"/>
      <c r="G18" s="2"/>
      <c r="H18" s="2"/>
      <c r="I18" s="2"/>
      <c r="J18" s="2"/>
      <c r="K18" s="2"/>
      <c r="L18" s="2"/>
      <c r="M18" s="2"/>
      <c r="N18" s="2"/>
      <c r="O18" s="2"/>
      <c r="P18" s="2"/>
      <c r="Q18" s="2"/>
      <c r="R18" s="2"/>
      <c r="S18" s="2"/>
      <c r="T18" s="2"/>
      <c r="U18" s="2"/>
      <c r="V18" s="2"/>
      <c r="W18" s="2"/>
      <c r="X18" s="2"/>
      <c r="Y18" s="2"/>
      <c r="Z18" s="2"/>
    </row>
    <row r="19" spans="1:26" ht="14.25" customHeight="1">
      <c r="A19" s="40"/>
      <c r="B19" s="40"/>
      <c r="C19" s="41"/>
      <c r="D19" s="2"/>
      <c r="E19" s="2"/>
      <c r="F19" s="2"/>
      <c r="G19" s="2"/>
      <c r="H19" s="2"/>
      <c r="I19" s="2"/>
      <c r="J19" s="2"/>
      <c r="K19" s="2"/>
      <c r="L19" s="2"/>
      <c r="M19" s="2"/>
      <c r="N19" s="2"/>
      <c r="O19" s="2"/>
      <c r="P19" s="2"/>
      <c r="Q19" s="2"/>
      <c r="R19" s="2"/>
      <c r="S19" s="2"/>
      <c r="T19" s="2"/>
      <c r="U19" s="2"/>
      <c r="V19" s="2"/>
      <c r="W19" s="2"/>
      <c r="X19" s="2"/>
      <c r="Y19" s="2"/>
      <c r="Z19" s="2"/>
    </row>
    <row r="20" spans="1:26" ht="23.4">
      <c r="A20" s="88" t="s">
        <v>196</v>
      </c>
      <c r="B20" s="71"/>
      <c r="C20" s="71"/>
      <c r="D20" s="72"/>
      <c r="E20" s="2"/>
      <c r="F20" s="2"/>
      <c r="G20" s="2"/>
      <c r="H20" s="2"/>
      <c r="I20" s="2"/>
      <c r="J20" s="2"/>
      <c r="K20" s="2"/>
      <c r="L20" s="2"/>
      <c r="M20" s="2"/>
      <c r="N20" s="2"/>
      <c r="O20" s="2"/>
      <c r="P20" s="2"/>
      <c r="Q20" s="2"/>
      <c r="R20" s="2"/>
      <c r="S20" s="2"/>
      <c r="T20" s="2"/>
      <c r="U20" s="2"/>
      <c r="V20" s="2"/>
      <c r="W20" s="2"/>
      <c r="X20" s="2"/>
      <c r="Y20" s="2"/>
      <c r="Z20" s="2"/>
    </row>
    <row r="21" spans="1:26" ht="15.75" customHeight="1">
      <c r="A21" s="42" t="s">
        <v>180</v>
      </c>
      <c r="B21" s="42" t="s">
        <v>181</v>
      </c>
      <c r="C21" s="43" t="s">
        <v>182</v>
      </c>
      <c r="D21" s="43" t="s">
        <v>183</v>
      </c>
      <c r="E21" s="2"/>
      <c r="F21" s="2"/>
      <c r="G21" s="2"/>
      <c r="H21" s="2"/>
      <c r="I21" s="2"/>
      <c r="J21" s="2"/>
      <c r="K21" s="2"/>
      <c r="L21" s="2"/>
      <c r="M21" s="2"/>
      <c r="N21" s="2"/>
      <c r="O21" s="2"/>
      <c r="P21" s="2"/>
      <c r="Q21" s="2"/>
      <c r="R21" s="2"/>
      <c r="S21" s="2"/>
      <c r="T21" s="2"/>
      <c r="U21" s="2"/>
      <c r="V21" s="2"/>
      <c r="W21" s="2"/>
      <c r="X21" s="2"/>
      <c r="Y21" s="2"/>
      <c r="Z21" s="2"/>
    </row>
    <row r="22" spans="1:26" ht="15.75" customHeight="1">
      <c r="A22" s="34">
        <v>1</v>
      </c>
      <c r="B22" s="35" t="s">
        <v>197</v>
      </c>
      <c r="C22" s="34" t="s">
        <v>185</v>
      </c>
      <c r="D22" s="34"/>
      <c r="E22" s="2"/>
      <c r="F22" s="2"/>
      <c r="G22" s="2"/>
      <c r="H22" s="2"/>
      <c r="I22" s="2"/>
      <c r="J22" s="2"/>
      <c r="K22" s="2"/>
      <c r="L22" s="2"/>
      <c r="M22" s="2"/>
      <c r="N22" s="2"/>
      <c r="O22" s="2"/>
      <c r="P22" s="2"/>
      <c r="Q22" s="2"/>
      <c r="R22" s="2"/>
      <c r="S22" s="2"/>
      <c r="T22" s="2"/>
      <c r="U22" s="2"/>
      <c r="V22" s="2"/>
      <c r="W22" s="2"/>
      <c r="X22" s="2"/>
      <c r="Y22" s="2"/>
      <c r="Z22" s="2"/>
    </row>
    <row r="23" spans="1:26" ht="15.75" customHeight="1">
      <c r="A23" s="34">
        <v>2</v>
      </c>
      <c r="B23" s="35" t="s">
        <v>198</v>
      </c>
      <c r="C23" s="34" t="s">
        <v>185</v>
      </c>
      <c r="D23" s="34"/>
      <c r="E23" s="2"/>
      <c r="F23" s="2"/>
      <c r="G23" s="2"/>
      <c r="H23" s="2"/>
      <c r="I23" s="2"/>
      <c r="J23" s="2"/>
      <c r="K23" s="2"/>
      <c r="L23" s="2"/>
      <c r="M23" s="2"/>
      <c r="N23" s="2"/>
      <c r="O23" s="2"/>
      <c r="P23" s="2"/>
      <c r="Q23" s="2"/>
      <c r="R23" s="2"/>
      <c r="S23" s="2"/>
      <c r="T23" s="2"/>
      <c r="U23" s="2"/>
      <c r="V23" s="2"/>
      <c r="W23" s="2"/>
      <c r="X23" s="2"/>
      <c r="Y23" s="2"/>
      <c r="Z23" s="2"/>
    </row>
    <row r="24" spans="1:26" ht="15.75" customHeight="1">
      <c r="A24" s="34">
        <v>3</v>
      </c>
      <c r="B24" s="35" t="s">
        <v>199</v>
      </c>
      <c r="C24" s="34" t="s">
        <v>185</v>
      </c>
      <c r="D24" s="34"/>
      <c r="E24" s="2"/>
      <c r="F24" s="2"/>
      <c r="G24" s="2"/>
      <c r="H24" s="2"/>
      <c r="I24" s="2"/>
      <c r="J24" s="2"/>
      <c r="K24" s="2"/>
      <c r="L24" s="2"/>
      <c r="M24" s="2"/>
      <c r="N24" s="2"/>
      <c r="O24" s="2"/>
      <c r="P24" s="2"/>
      <c r="Q24" s="2"/>
      <c r="R24" s="2"/>
      <c r="S24" s="2"/>
      <c r="T24" s="2"/>
      <c r="U24" s="2"/>
      <c r="V24" s="2"/>
      <c r="W24" s="2"/>
      <c r="X24" s="2"/>
      <c r="Y24" s="2"/>
      <c r="Z24" s="2"/>
    </row>
    <row r="25" spans="1:26" ht="15.75" customHeight="1">
      <c r="A25" s="34">
        <v>4</v>
      </c>
      <c r="B25" s="35" t="s">
        <v>200</v>
      </c>
      <c r="C25" s="34"/>
      <c r="D25" s="36" t="s">
        <v>185</v>
      </c>
      <c r="E25" s="2"/>
      <c r="F25" s="2"/>
      <c r="G25" s="2"/>
      <c r="H25" s="2"/>
      <c r="I25" s="2"/>
      <c r="J25" s="2"/>
      <c r="K25" s="2"/>
      <c r="L25" s="2"/>
      <c r="M25" s="2"/>
      <c r="N25" s="2"/>
      <c r="O25" s="2"/>
      <c r="P25" s="2"/>
      <c r="Q25" s="2"/>
      <c r="R25" s="2"/>
      <c r="S25" s="2"/>
      <c r="T25" s="2"/>
      <c r="U25" s="2"/>
      <c r="V25" s="2"/>
      <c r="W25" s="2"/>
      <c r="X25" s="2"/>
      <c r="Y25" s="2"/>
      <c r="Z25" s="2"/>
    </row>
    <row r="26" spans="1:26" ht="15.75" customHeight="1">
      <c r="A26" s="34">
        <v>5</v>
      </c>
      <c r="B26" s="35" t="s">
        <v>201</v>
      </c>
      <c r="C26" s="34" t="s">
        <v>185</v>
      </c>
      <c r="D26" s="34"/>
      <c r="E26" s="2"/>
      <c r="F26" s="2"/>
      <c r="G26" s="2"/>
      <c r="H26" s="2"/>
      <c r="I26" s="2"/>
      <c r="J26" s="2"/>
      <c r="K26" s="2"/>
      <c r="L26" s="2"/>
      <c r="M26" s="2"/>
      <c r="N26" s="2"/>
      <c r="O26" s="2"/>
      <c r="P26" s="2"/>
      <c r="Q26" s="2"/>
      <c r="R26" s="2"/>
      <c r="S26" s="2"/>
      <c r="T26" s="2"/>
      <c r="U26" s="2"/>
      <c r="V26" s="2"/>
      <c r="W26" s="2"/>
      <c r="X26" s="2"/>
      <c r="Y26" s="2"/>
      <c r="Z26" s="2"/>
    </row>
    <row r="27" spans="1:26" ht="15.75" customHeight="1">
      <c r="A27" s="86" t="s">
        <v>194</v>
      </c>
      <c r="B27" s="72"/>
      <c r="C27" s="45">
        <v>4</v>
      </c>
      <c r="D27" s="45">
        <v>1</v>
      </c>
      <c r="E27" s="2"/>
      <c r="F27" s="2"/>
      <c r="G27" s="2"/>
      <c r="H27" s="2"/>
      <c r="I27" s="2"/>
      <c r="J27" s="2"/>
      <c r="K27" s="2"/>
      <c r="L27" s="2"/>
      <c r="M27" s="2"/>
      <c r="N27" s="2"/>
      <c r="O27" s="2"/>
      <c r="P27" s="2"/>
      <c r="Q27" s="2"/>
      <c r="R27" s="2"/>
      <c r="S27" s="2"/>
      <c r="T27" s="2"/>
      <c r="U27" s="2"/>
      <c r="V27" s="2"/>
      <c r="W27" s="2"/>
      <c r="X27" s="2"/>
      <c r="Y27" s="2"/>
      <c r="Z27" s="2"/>
    </row>
    <row r="28" spans="1:26" ht="15.75" customHeight="1">
      <c r="A28" s="86" t="s">
        <v>195</v>
      </c>
      <c r="B28" s="72"/>
      <c r="C28" s="39">
        <f t="shared" ref="C28:D28" si="1">C27/5</f>
        <v>0.8</v>
      </c>
      <c r="D28" s="39">
        <f t="shared" si="1"/>
        <v>0.2</v>
      </c>
      <c r="E28" s="2"/>
      <c r="F28" s="2"/>
      <c r="G28" s="2"/>
      <c r="H28" s="2"/>
      <c r="I28" s="2"/>
      <c r="J28" s="2"/>
      <c r="K28" s="2"/>
      <c r="L28" s="2"/>
      <c r="M28" s="2"/>
      <c r="N28" s="2"/>
      <c r="O28" s="2"/>
      <c r="P28" s="2"/>
      <c r="Q28" s="2"/>
      <c r="R28" s="2"/>
      <c r="S28" s="2"/>
      <c r="T28" s="2"/>
      <c r="U28" s="2"/>
      <c r="V28" s="2"/>
      <c r="W28" s="2"/>
      <c r="X28" s="2"/>
      <c r="Y28" s="2"/>
      <c r="Z28" s="2"/>
    </row>
    <row r="29" spans="1:26" ht="14.25" customHeight="1">
      <c r="A29" s="40"/>
      <c r="B29" s="40"/>
      <c r="C29" s="41"/>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88" t="s">
        <v>202</v>
      </c>
      <c r="B30" s="71"/>
      <c r="C30" s="71"/>
      <c r="D30" s="72"/>
      <c r="E30" s="2"/>
      <c r="F30" s="2"/>
      <c r="G30" s="2"/>
      <c r="H30" s="2"/>
      <c r="I30" s="2"/>
      <c r="J30" s="2"/>
      <c r="K30" s="2"/>
      <c r="L30" s="2"/>
      <c r="M30" s="2"/>
      <c r="N30" s="2"/>
      <c r="O30" s="2"/>
      <c r="P30" s="2"/>
      <c r="Q30" s="2"/>
      <c r="R30" s="2"/>
      <c r="S30" s="2"/>
      <c r="T30" s="2"/>
      <c r="U30" s="2"/>
      <c r="V30" s="2"/>
      <c r="W30" s="2"/>
      <c r="X30" s="2"/>
      <c r="Y30" s="2"/>
      <c r="Z30" s="2"/>
    </row>
    <row r="31" spans="1:26" ht="15.75" customHeight="1">
      <c r="A31" s="42" t="s">
        <v>180</v>
      </c>
      <c r="B31" s="42" t="s">
        <v>181</v>
      </c>
      <c r="C31" s="43" t="s">
        <v>182</v>
      </c>
      <c r="D31" s="43" t="s">
        <v>183</v>
      </c>
      <c r="E31" s="2"/>
      <c r="F31" s="2"/>
      <c r="G31" s="2"/>
      <c r="H31" s="2"/>
      <c r="I31" s="2"/>
      <c r="J31" s="2"/>
      <c r="K31" s="2"/>
      <c r="L31" s="2"/>
      <c r="M31" s="2"/>
      <c r="N31" s="2"/>
      <c r="O31" s="2"/>
      <c r="P31" s="2"/>
      <c r="Q31" s="2"/>
      <c r="R31" s="2"/>
      <c r="S31" s="2"/>
      <c r="T31" s="2"/>
      <c r="U31" s="2"/>
      <c r="V31" s="2"/>
      <c r="W31" s="2"/>
      <c r="X31" s="2"/>
      <c r="Y31" s="2"/>
      <c r="Z31" s="2"/>
    </row>
    <row r="32" spans="1:26" ht="15.75" customHeight="1">
      <c r="A32" s="34">
        <v>1</v>
      </c>
      <c r="B32" s="35" t="s">
        <v>203</v>
      </c>
      <c r="C32" s="34" t="s">
        <v>185</v>
      </c>
      <c r="D32" s="34"/>
      <c r="E32" s="2"/>
      <c r="F32" s="2"/>
      <c r="G32" s="2"/>
      <c r="H32" s="2"/>
      <c r="I32" s="2"/>
      <c r="J32" s="2"/>
      <c r="K32" s="2"/>
      <c r="L32" s="2"/>
      <c r="M32" s="2"/>
      <c r="N32" s="2"/>
      <c r="O32" s="2"/>
      <c r="P32" s="2"/>
      <c r="Q32" s="2"/>
      <c r="R32" s="2"/>
      <c r="S32" s="2"/>
      <c r="T32" s="2"/>
      <c r="U32" s="2"/>
      <c r="V32" s="2"/>
      <c r="W32" s="2"/>
      <c r="X32" s="2"/>
      <c r="Y32" s="2"/>
      <c r="Z32" s="2"/>
    </row>
    <row r="33" spans="1:26" ht="15.75" customHeight="1">
      <c r="A33" s="34">
        <v>2</v>
      </c>
      <c r="B33" s="35" t="s">
        <v>204</v>
      </c>
      <c r="C33" s="34" t="s">
        <v>185</v>
      </c>
      <c r="D33" s="34"/>
      <c r="E33" s="2"/>
      <c r="F33" s="2"/>
      <c r="G33" s="2"/>
      <c r="H33" s="2"/>
      <c r="I33" s="2"/>
      <c r="J33" s="2"/>
      <c r="K33" s="2"/>
      <c r="L33" s="2"/>
      <c r="M33" s="2"/>
      <c r="N33" s="2"/>
      <c r="O33" s="2"/>
      <c r="P33" s="2"/>
      <c r="Q33" s="2"/>
      <c r="R33" s="2"/>
      <c r="S33" s="2"/>
      <c r="T33" s="2"/>
      <c r="U33" s="2"/>
      <c r="V33" s="2"/>
      <c r="W33" s="2"/>
      <c r="X33" s="2"/>
      <c r="Y33" s="2"/>
      <c r="Z33" s="2"/>
    </row>
    <row r="34" spans="1:26" ht="15.75" customHeight="1">
      <c r="A34" s="34">
        <v>3</v>
      </c>
      <c r="B34" s="35" t="s">
        <v>205</v>
      </c>
      <c r="C34" s="34"/>
      <c r="D34" s="36" t="s">
        <v>185</v>
      </c>
      <c r="E34" s="2"/>
      <c r="F34" s="2"/>
      <c r="G34" s="2"/>
      <c r="H34" s="2"/>
      <c r="I34" s="2"/>
      <c r="J34" s="2"/>
      <c r="K34" s="2"/>
      <c r="L34" s="2"/>
      <c r="M34" s="2"/>
      <c r="N34" s="2"/>
      <c r="O34" s="2"/>
      <c r="P34" s="2"/>
      <c r="Q34" s="2"/>
      <c r="R34" s="2"/>
      <c r="S34" s="2"/>
      <c r="T34" s="2"/>
      <c r="U34" s="2"/>
      <c r="V34" s="2"/>
      <c r="W34" s="2"/>
      <c r="X34" s="2"/>
      <c r="Y34" s="2"/>
      <c r="Z34" s="2"/>
    </row>
    <row r="35" spans="1:26" ht="15.75" customHeight="1">
      <c r="A35" s="86" t="s">
        <v>194</v>
      </c>
      <c r="B35" s="72"/>
      <c r="C35" s="45">
        <v>2</v>
      </c>
      <c r="D35" s="45">
        <v>1</v>
      </c>
      <c r="E35" s="2"/>
      <c r="F35" s="2"/>
      <c r="G35" s="2"/>
      <c r="H35" s="2"/>
      <c r="I35" s="2"/>
      <c r="J35" s="2"/>
      <c r="K35" s="2"/>
      <c r="L35" s="2"/>
      <c r="M35" s="2"/>
      <c r="N35" s="2"/>
      <c r="O35" s="2"/>
      <c r="P35" s="2"/>
      <c r="Q35" s="2"/>
      <c r="R35" s="2"/>
      <c r="S35" s="2"/>
      <c r="T35" s="2"/>
      <c r="U35" s="2"/>
      <c r="V35" s="2"/>
      <c r="W35" s="2"/>
      <c r="X35" s="2"/>
      <c r="Y35" s="2"/>
      <c r="Z35" s="2"/>
    </row>
    <row r="36" spans="1:26" ht="15.75" customHeight="1">
      <c r="A36" s="86" t="s">
        <v>195</v>
      </c>
      <c r="B36" s="72"/>
      <c r="C36" s="39">
        <f t="shared" ref="C36:D36" si="2">C35/3</f>
        <v>0.66666666666666663</v>
      </c>
      <c r="D36" s="39">
        <f t="shared" si="2"/>
        <v>0.33333333333333331</v>
      </c>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87" t="s">
        <v>206</v>
      </c>
      <c r="C40" s="72"/>
      <c r="D40" s="48"/>
      <c r="E40" s="2"/>
      <c r="F40" s="2"/>
      <c r="G40" s="2"/>
      <c r="H40" s="2"/>
      <c r="I40" s="2"/>
      <c r="J40" s="2"/>
      <c r="K40" s="2"/>
      <c r="L40" s="2"/>
      <c r="M40" s="2"/>
      <c r="N40" s="2"/>
      <c r="O40" s="2"/>
      <c r="P40" s="2"/>
      <c r="Q40" s="2"/>
      <c r="R40" s="2"/>
      <c r="S40" s="2"/>
      <c r="T40" s="2"/>
      <c r="U40" s="2"/>
      <c r="V40" s="2"/>
      <c r="W40" s="2"/>
      <c r="X40" s="2"/>
      <c r="Y40" s="2"/>
      <c r="Z40" s="2"/>
    </row>
    <row r="41" spans="1:26" ht="30" customHeight="1">
      <c r="A41" s="2"/>
      <c r="B41" s="44" t="s">
        <v>207</v>
      </c>
      <c r="C41" s="45">
        <v>78</v>
      </c>
      <c r="D41" s="2"/>
      <c r="E41" s="2"/>
      <c r="F41" s="2"/>
      <c r="G41" s="2"/>
      <c r="H41" s="2"/>
      <c r="I41" s="2"/>
      <c r="J41" s="2"/>
      <c r="K41" s="2"/>
      <c r="L41" s="2"/>
      <c r="M41" s="2"/>
      <c r="N41" s="2"/>
      <c r="O41" s="2"/>
      <c r="P41" s="2"/>
      <c r="Q41" s="2"/>
      <c r="R41" s="2"/>
      <c r="S41" s="2"/>
      <c r="T41" s="2"/>
      <c r="U41" s="2"/>
      <c r="V41" s="2"/>
      <c r="W41" s="2"/>
      <c r="X41" s="2"/>
      <c r="Y41" s="2"/>
      <c r="Z41" s="2"/>
    </row>
    <row r="42" spans="1:26" ht="30" customHeight="1">
      <c r="A42" s="2"/>
      <c r="B42" s="44" t="s">
        <v>196</v>
      </c>
      <c r="C42" s="45">
        <v>80</v>
      </c>
      <c r="D42" s="2"/>
      <c r="E42" s="2"/>
      <c r="F42" s="2"/>
      <c r="G42" s="2"/>
      <c r="H42" s="2"/>
      <c r="I42" s="2"/>
      <c r="J42" s="2"/>
      <c r="K42" s="2"/>
      <c r="L42" s="2"/>
      <c r="M42" s="2"/>
      <c r="N42" s="2"/>
      <c r="O42" s="2"/>
      <c r="P42" s="2"/>
      <c r="Q42" s="2"/>
      <c r="R42" s="2"/>
      <c r="S42" s="2"/>
      <c r="T42" s="2"/>
      <c r="U42" s="2"/>
      <c r="V42" s="2"/>
      <c r="W42" s="2"/>
      <c r="X42" s="2"/>
      <c r="Y42" s="2"/>
      <c r="Z42" s="2"/>
    </row>
    <row r="43" spans="1:26" ht="30" customHeight="1">
      <c r="A43" s="2"/>
      <c r="B43" s="44" t="s">
        <v>202</v>
      </c>
      <c r="C43" s="45">
        <v>67</v>
      </c>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23" priority="1" operator="containsText" text="X">
      <formula>NOT(ISERROR(SEARCH(("X"),(A32))))</formula>
    </cfRule>
  </conditionalFormatting>
  <conditionalFormatting sqref="C8:D16 C22:C26 C32:D34 H8:I16 H22:H26 H32:I34 M8:N16 M22:M26 M32:N34">
    <cfRule type="containsText" dxfId="22" priority="2" operator="containsText" text="X">
      <formula>NOT(ISERROR(SEARCH(("X"),(C8))))</formula>
    </cfRule>
  </conditionalFormatting>
  <conditionalFormatting sqref="C8:D16 C22:C26 C32:D34 H8:I16 H22:H26 H32:I34 M8:N16 M22:M26 M32:N34">
    <cfRule type="containsText" dxfId="21" priority="3" operator="containsText" text="X">
      <formula>NOT(ISERROR(SEARCH(("X"),(C8))))</formula>
    </cfRule>
  </conditionalFormatting>
  <conditionalFormatting sqref="C8:D16 C22:C26 C32:D34 H8:I16 H22:H26 H32:I34 M8:N16 M22:M26 M32:N34">
    <cfRule type="containsText" dxfId="20" priority="4" operator="containsText" text="X">
      <formula>NOT(ISERROR(SEARCH(("X"),(C8))))</formula>
    </cfRule>
  </conditionalFormatting>
  <conditionalFormatting sqref="C22:D26 H22:I26 M22:N26">
    <cfRule type="containsText" dxfId="19" priority="5" operator="containsText" text="X">
      <formula>NOT(ISERROR(SEARCH(("X"),(C22))))</formula>
    </cfRule>
  </conditionalFormatting>
  <conditionalFormatting sqref="C22:D26 H22:I26 M22:N26">
    <cfRule type="containsText" dxfId="18" priority="6" operator="containsText" text="X">
      <formula>NOT(ISERROR(SEARCH(("X"),(C22))))</formula>
    </cfRule>
  </conditionalFormatting>
  <conditionalFormatting sqref="C8:D16 C22:C26 C32:D34 H8:I16 H22:H26 H32:I34 M8:N16 M22:M26 M32:N34">
    <cfRule type="containsText" dxfId="17" priority="7" operator="containsText" text="X">
      <formula>NOT(ISERROR(SEARCH(("X"),(C8))))</formula>
    </cfRule>
  </conditionalFormatting>
  <conditionalFormatting sqref="C32:D34 H32:I34 M32:N34">
    <cfRule type="containsText" dxfId="16"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50" zoomScaleNormal="50" workbookViewId="0">
      <selection activeCell="C4" sqref="C4:D4"/>
    </sheetView>
  </sheetViews>
  <sheetFormatPr baseColWidth="10" defaultColWidth="14.44140625" defaultRowHeight="15" customHeight="1"/>
  <cols>
    <col min="1" max="1" width="10.6640625" customWidth="1"/>
    <col min="2" max="2" width="36.6640625" customWidth="1"/>
    <col min="3" max="3" width="23" customWidth="1"/>
    <col min="4" max="4" width="20.6640625"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24" width="10.6640625" customWidth="1"/>
  </cols>
  <sheetData>
    <row r="1" spans="1:26" ht="18">
      <c r="A1" s="81" t="s">
        <v>1</v>
      </c>
      <c r="B1" s="72"/>
      <c r="C1" s="82" t="s">
        <v>2</v>
      </c>
      <c r="D1" s="72"/>
      <c r="E1" s="32"/>
      <c r="F1" s="2"/>
      <c r="G1" s="2"/>
      <c r="H1" s="2"/>
      <c r="I1" s="2"/>
      <c r="J1" s="2"/>
      <c r="K1" s="2"/>
      <c r="L1" s="2"/>
      <c r="M1" s="2"/>
      <c r="N1" s="2"/>
      <c r="O1" s="32"/>
      <c r="P1" s="32"/>
      <c r="Q1" s="32"/>
      <c r="R1" s="32"/>
      <c r="S1" s="32"/>
      <c r="T1" s="32"/>
      <c r="U1" s="32"/>
      <c r="V1" s="32"/>
      <c r="W1" s="32"/>
      <c r="X1" s="32"/>
      <c r="Y1" s="32"/>
      <c r="Z1" s="32"/>
    </row>
    <row r="2" spans="1:26" ht="18">
      <c r="A2" s="83" t="s">
        <v>175</v>
      </c>
      <c r="B2" s="72"/>
      <c r="C2" s="84">
        <v>46160</v>
      </c>
      <c r="D2" s="72"/>
      <c r="E2" s="2"/>
      <c r="F2" s="2"/>
      <c r="G2" s="2"/>
      <c r="H2" s="2"/>
      <c r="I2" s="2"/>
      <c r="J2" s="2"/>
      <c r="K2" s="2"/>
      <c r="L2" s="2"/>
      <c r="M2" s="2"/>
      <c r="N2" s="2"/>
      <c r="O2" s="2"/>
      <c r="P2" s="2"/>
      <c r="Q2" s="2"/>
      <c r="R2" s="2"/>
      <c r="S2" s="2"/>
      <c r="T2" s="2"/>
      <c r="U2" s="2"/>
      <c r="V2" s="2"/>
      <c r="W2" s="2"/>
      <c r="X2" s="2"/>
      <c r="Y2" s="2"/>
      <c r="Z2" s="2"/>
    </row>
    <row r="3" spans="1:26" ht="18">
      <c r="A3" s="83" t="s">
        <v>176</v>
      </c>
      <c r="B3" s="72"/>
      <c r="C3" s="85" t="s">
        <v>209</v>
      </c>
      <c r="D3" s="72"/>
      <c r="E3" s="2"/>
      <c r="F3" s="2"/>
      <c r="G3" s="2"/>
      <c r="H3" s="2"/>
      <c r="I3" s="2"/>
      <c r="J3" s="2"/>
      <c r="K3" s="2"/>
      <c r="L3" s="2"/>
      <c r="M3" s="2"/>
      <c r="N3" s="2"/>
      <c r="O3" s="2"/>
      <c r="P3" s="2"/>
      <c r="Q3" s="2"/>
      <c r="R3" s="2"/>
      <c r="S3" s="2"/>
      <c r="T3" s="2"/>
      <c r="U3" s="2"/>
      <c r="V3" s="2"/>
      <c r="W3" s="2"/>
      <c r="X3" s="2"/>
      <c r="Y3" s="2"/>
      <c r="Z3" s="2"/>
    </row>
    <row r="4" spans="1:26" ht="18" customHeight="1">
      <c r="A4" s="83" t="s">
        <v>178</v>
      </c>
      <c r="B4" s="72"/>
      <c r="C4" s="85" t="s">
        <v>268</v>
      </c>
      <c r="D4" s="72"/>
      <c r="E4" s="2"/>
      <c r="F4" s="2"/>
      <c r="G4" s="2"/>
      <c r="H4" s="2"/>
      <c r="I4" s="2"/>
      <c r="J4" s="2"/>
      <c r="K4" s="2"/>
      <c r="L4" s="2"/>
      <c r="M4" s="2"/>
      <c r="N4" s="2"/>
      <c r="O4" s="2"/>
      <c r="P4" s="2"/>
      <c r="Q4" s="2"/>
      <c r="R4" s="2"/>
      <c r="S4" s="2"/>
      <c r="T4" s="2"/>
      <c r="U4" s="2"/>
      <c r="V4" s="2"/>
      <c r="W4" s="2"/>
      <c r="X4" s="2"/>
      <c r="Y4" s="2"/>
      <c r="Z4" s="2"/>
    </row>
    <row r="5" spans="1:26" ht="14.25" customHeight="1">
      <c r="A5" s="2"/>
      <c r="B5" s="2"/>
      <c r="C5" s="2"/>
      <c r="D5" s="2"/>
      <c r="E5" s="2"/>
      <c r="F5" s="2"/>
      <c r="G5" s="2"/>
      <c r="H5" s="2"/>
      <c r="I5" s="2"/>
      <c r="J5" s="2"/>
      <c r="K5" s="2"/>
      <c r="L5" s="2"/>
      <c r="M5" s="2"/>
      <c r="N5" s="2"/>
      <c r="O5" s="2"/>
      <c r="P5" s="2"/>
      <c r="Q5" s="2"/>
      <c r="R5" s="2"/>
      <c r="S5" s="2"/>
      <c r="T5" s="2"/>
      <c r="U5" s="2"/>
      <c r="V5" s="2"/>
      <c r="W5" s="2"/>
      <c r="X5" s="2"/>
      <c r="Y5" s="2"/>
      <c r="Z5" s="2"/>
    </row>
    <row r="6" spans="1:26" ht="23.4">
      <c r="A6" s="88" t="s">
        <v>179</v>
      </c>
      <c r="B6" s="71"/>
      <c r="C6" s="71"/>
      <c r="D6" s="72"/>
      <c r="E6" s="2"/>
      <c r="F6" s="2"/>
      <c r="G6" s="2"/>
      <c r="H6" s="2"/>
      <c r="I6" s="2"/>
      <c r="J6" s="2"/>
      <c r="K6" s="2"/>
      <c r="L6" s="2"/>
      <c r="M6" s="2"/>
      <c r="N6" s="2"/>
      <c r="O6" s="2"/>
      <c r="P6" s="2"/>
      <c r="Q6" s="2"/>
      <c r="R6" s="2"/>
      <c r="S6" s="2"/>
      <c r="T6" s="2"/>
      <c r="U6" s="2"/>
      <c r="V6" s="2"/>
      <c r="W6" s="2"/>
      <c r="X6" s="2"/>
      <c r="Y6" s="2"/>
      <c r="Z6" s="2"/>
    </row>
    <row r="7" spans="1:26" ht="18">
      <c r="A7" s="33" t="s">
        <v>180</v>
      </c>
      <c r="B7" s="33" t="s">
        <v>181</v>
      </c>
      <c r="C7" s="33" t="s">
        <v>182</v>
      </c>
      <c r="D7" s="33" t="s">
        <v>183</v>
      </c>
      <c r="E7" s="2"/>
      <c r="F7" s="2"/>
      <c r="G7" s="2"/>
      <c r="H7" s="2"/>
      <c r="I7" s="2"/>
      <c r="J7" s="2"/>
      <c r="K7" s="2"/>
      <c r="L7" s="2"/>
      <c r="M7" s="2"/>
      <c r="N7" s="2"/>
      <c r="O7" s="2"/>
      <c r="P7" s="2"/>
      <c r="Q7" s="2"/>
      <c r="R7" s="2"/>
      <c r="S7" s="2"/>
      <c r="T7" s="2"/>
      <c r="U7" s="2"/>
      <c r="V7" s="2"/>
      <c r="W7" s="2"/>
      <c r="X7" s="2"/>
      <c r="Y7" s="2"/>
      <c r="Z7" s="2"/>
    </row>
    <row r="8" spans="1:26" ht="28.8">
      <c r="A8" s="34">
        <v>1</v>
      </c>
      <c r="B8" s="35" t="s">
        <v>184</v>
      </c>
      <c r="C8" s="34" t="s">
        <v>185</v>
      </c>
      <c r="D8" s="34"/>
      <c r="E8" s="2"/>
      <c r="F8" s="2"/>
      <c r="G8" s="2"/>
      <c r="H8" s="2"/>
      <c r="I8" s="2"/>
      <c r="J8" s="2"/>
      <c r="K8" s="2"/>
      <c r="L8" s="2"/>
      <c r="M8" s="2"/>
      <c r="N8" s="2"/>
      <c r="O8" s="2"/>
      <c r="P8" s="2"/>
      <c r="Q8" s="2"/>
      <c r="R8" s="2"/>
      <c r="S8" s="2"/>
      <c r="T8" s="2"/>
      <c r="U8" s="2"/>
      <c r="V8" s="2"/>
      <c r="W8" s="2"/>
      <c r="X8" s="2"/>
      <c r="Y8" s="2"/>
      <c r="Z8" s="2"/>
    </row>
    <row r="9" spans="1:26" ht="28.8">
      <c r="A9" s="34">
        <v>2</v>
      </c>
      <c r="B9" s="35" t="s">
        <v>186</v>
      </c>
      <c r="C9" s="34" t="s">
        <v>185</v>
      </c>
      <c r="D9" s="34"/>
      <c r="E9" s="2"/>
      <c r="F9" s="2"/>
      <c r="G9" s="2"/>
      <c r="H9" s="2"/>
      <c r="I9" s="2"/>
      <c r="J9" s="2"/>
      <c r="K9" s="2"/>
      <c r="L9" s="2"/>
      <c r="M9" s="2"/>
      <c r="N9" s="2"/>
      <c r="O9" s="2"/>
      <c r="P9" s="2"/>
      <c r="Q9" s="2"/>
      <c r="R9" s="2"/>
      <c r="S9" s="2"/>
      <c r="T9" s="2"/>
      <c r="U9" s="2"/>
      <c r="V9" s="2"/>
      <c r="W9" s="2"/>
      <c r="X9" s="2"/>
      <c r="Y9" s="2"/>
      <c r="Z9" s="2"/>
    </row>
    <row r="10" spans="1:26" ht="57.6">
      <c r="A10" s="34">
        <v>3</v>
      </c>
      <c r="B10" s="35" t="s">
        <v>187</v>
      </c>
      <c r="C10" s="34"/>
      <c r="D10" s="37" t="s">
        <v>185</v>
      </c>
      <c r="E10" s="2"/>
      <c r="F10" s="2"/>
      <c r="G10" s="2"/>
      <c r="H10" s="2"/>
      <c r="I10" s="2"/>
      <c r="J10" s="2"/>
      <c r="K10" s="2"/>
      <c r="L10" s="2"/>
      <c r="M10" s="2"/>
      <c r="N10" s="2"/>
      <c r="O10" s="2"/>
      <c r="P10" s="2"/>
      <c r="Q10" s="2"/>
      <c r="R10" s="2"/>
      <c r="S10" s="2"/>
      <c r="T10" s="2"/>
      <c r="U10" s="2"/>
      <c r="V10" s="2"/>
      <c r="W10" s="2"/>
      <c r="X10" s="2"/>
      <c r="Y10" s="2"/>
      <c r="Z10" s="2"/>
    </row>
    <row r="11" spans="1:26" ht="28.8">
      <c r="A11" s="34">
        <v>4</v>
      </c>
      <c r="B11" s="35" t="s">
        <v>188</v>
      </c>
      <c r="C11" s="34" t="s">
        <v>185</v>
      </c>
      <c r="D11" s="34"/>
      <c r="E11" s="2"/>
      <c r="F11" s="2"/>
      <c r="G11" s="2"/>
      <c r="H11" s="2"/>
      <c r="I11" s="2"/>
      <c r="J11" s="2"/>
      <c r="K11" s="2"/>
      <c r="L11" s="2"/>
      <c r="M11" s="2"/>
      <c r="N11" s="2"/>
      <c r="O11" s="2"/>
      <c r="P11" s="2"/>
      <c r="Q11" s="2"/>
      <c r="R11" s="2"/>
      <c r="S11" s="2"/>
      <c r="T11" s="2"/>
      <c r="U11" s="2"/>
      <c r="V11" s="2"/>
      <c r="W11" s="2"/>
      <c r="X11" s="2"/>
      <c r="Y11" s="2"/>
      <c r="Z11" s="2"/>
    </row>
    <row r="12" spans="1:26" ht="28.8">
      <c r="A12" s="34">
        <v>5</v>
      </c>
      <c r="B12" s="35" t="s">
        <v>189</v>
      </c>
      <c r="C12" s="34" t="s">
        <v>185</v>
      </c>
      <c r="D12" s="34"/>
      <c r="E12" s="2"/>
      <c r="F12" s="2"/>
      <c r="G12" s="2"/>
      <c r="H12" s="2"/>
      <c r="I12" s="2"/>
      <c r="J12" s="2"/>
      <c r="K12" s="2"/>
      <c r="L12" s="2"/>
      <c r="M12" s="2"/>
      <c r="N12" s="2"/>
      <c r="O12" s="2"/>
      <c r="P12" s="2"/>
      <c r="Q12" s="2"/>
      <c r="R12" s="2"/>
      <c r="S12" s="2"/>
      <c r="T12" s="2"/>
      <c r="U12" s="2"/>
      <c r="V12" s="2"/>
      <c r="W12" s="2"/>
      <c r="X12" s="2"/>
      <c r="Y12" s="2"/>
      <c r="Z12" s="2"/>
    </row>
    <row r="13" spans="1:26" ht="28.8">
      <c r="A13" s="34">
        <v>6</v>
      </c>
      <c r="B13" s="35" t="s">
        <v>190</v>
      </c>
      <c r="C13" s="34" t="s">
        <v>185</v>
      </c>
      <c r="D13" s="34"/>
      <c r="E13" s="2"/>
      <c r="F13" s="2"/>
      <c r="G13" s="2"/>
      <c r="H13" s="2"/>
      <c r="I13" s="2"/>
      <c r="J13" s="2"/>
      <c r="K13" s="2"/>
      <c r="L13" s="2"/>
      <c r="M13" s="2"/>
      <c r="N13" s="2"/>
      <c r="O13" s="2"/>
      <c r="P13" s="2"/>
      <c r="Q13" s="2"/>
      <c r="R13" s="2"/>
      <c r="S13" s="2"/>
      <c r="T13" s="2"/>
      <c r="U13" s="2"/>
      <c r="V13" s="2"/>
      <c r="W13" s="2"/>
      <c r="X13" s="2"/>
      <c r="Y13" s="2"/>
      <c r="Z13" s="2"/>
    </row>
    <row r="14" spans="1:26" ht="28.8">
      <c r="A14" s="34">
        <v>7</v>
      </c>
      <c r="B14" s="35" t="s">
        <v>191</v>
      </c>
      <c r="C14" s="34"/>
      <c r="D14" s="36" t="s">
        <v>185</v>
      </c>
      <c r="E14" s="2"/>
      <c r="F14" s="2"/>
      <c r="G14" s="2"/>
      <c r="H14" s="2"/>
      <c r="I14" s="2"/>
      <c r="J14" s="2"/>
      <c r="K14" s="2"/>
      <c r="L14" s="2"/>
      <c r="M14" s="2"/>
      <c r="N14" s="2"/>
      <c r="O14" s="2"/>
      <c r="P14" s="2"/>
      <c r="Q14" s="2"/>
      <c r="R14" s="2"/>
      <c r="S14" s="2"/>
      <c r="T14" s="2"/>
      <c r="U14" s="2"/>
      <c r="V14" s="2"/>
      <c r="W14" s="2"/>
      <c r="X14" s="2"/>
      <c r="Y14" s="2"/>
      <c r="Z14" s="2"/>
    </row>
    <row r="15" spans="1:26" ht="43.2">
      <c r="A15" s="34">
        <v>8</v>
      </c>
      <c r="B15" s="35" t="s">
        <v>192</v>
      </c>
      <c r="C15" s="34" t="s">
        <v>185</v>
      </c>
      <c r="D15" s="34"/>
      <c r="E15" s="2"/>
      <c r="F15" s="2"/>
      <c r="G15" s="2"/>
      <c r="H15" s="2"/>
      <c r="I15" s="2"/>
      <c r="J15" s="2"/>
      <c r="K15" s="2"/>
      <c r="L15" s="2"/>
      <c r="M15" s="2"/>
      <c r="N15" s="2"/>
      <c r="O15" s="2"/>
      <c r="P15" s="2"/>
      <c r="Q15" s="2"/>
      <c r="R15" s="2"/>
      <c r="S15" s="2"/>
      <c r="T15" s="2"/>
      <c r="U15" s="2"/>
      <c r="V15" s="2"/>
      <c r="W15" s="2"/>
      <c r="X15" s="2"/>
      <c r="Y15" s="2"/>
      <c r="Z15" s="2"/>
    </row>
    <row r="16" spans="1:26" ht="57.6">
      <c r="A16" s="34">
        <v>9</v>
      </c>
      <c r="B16" s="35" t="s">
        <v>193</v>
      </c>
      <c r="C16" s="34" t="s">
        <v>185</v>
      </c>
      <c r="D16" s="34"/>
      <c r="E16" s="2"/>
      <c r="F16" s="2"/>
      <c r="G16" s="2"/>
      <c r="H16" s="2"/>
      <c r="I16" s="2"/>
      <c r="J16" s="2"/>
      <c r="K16" s="2"/>
      <c r="L16" s="2"/>
      <c r="M16" s="2"/>
      <c r="N16" s="2"/>
      <c r="O16" s="2"/>
      <c r="P16" s="2"/>
      <c r="Q16" s="2"/>
      <c r="R16" s="2"/>
      <c r="S16" s="2"/>
      <c r="T16" s="2"/>
      <c r="U16" s="2"/>
      <c r="V16" s="2"/>
      <c r="W16" s="2"/>
      <c r="X16" s="2"/>
      <c r="Y16" s="2"/>
      <c r="Z16" s="2"/>
    </row>
    <row r="17" spans="1:26" ht="18">
      <c r="A17" s="86" t="s">
        <v>194</v>
      </c>
      <c r="B17" s="72"/>
      <c r="C17" s="45">
        <v>7</v>
      </c>
      <c r="D17" s="45">
        <v>2</v>
      </c>
      <c r="E17" s="2"/>
      <c r="F17" s="2"/>
      <c r="G17" s="2"/>
      <c r="H17" s="2"/>
      <c r="I17" s="2"/>
      <c r="J17" s="2"/>
      <c r="K17" s="2"/>
      <c r="L17" s="2"/>
      <c r="M17" s="2"/>
      <c r="N17" s="2"/>
      <c r="O17" s="2"/>
      <c r="P17" s="2"/>
      <c r="Q17" s="2"/>
      <c r="R17" s="2"/>
      <c r="S17" s="2"/>
      <c r="T17" s="2"/>
      <c r="U17" s="2"/>
      <c r="V17" s="2"/>
      <c r="W17" s="2"/>
      <c r="X17" s="2"/>
      <c r="Y17" s="2"/>
      <c r="Z17" s="2"/>
    </row>
    <row r="18" spans="1:26" ht="18">
      <c r="A18" s="86" t="s">
        <v>195</v>
      </c>
      <c r="B18" s="72"/>
      <c r="C18" s="39">
        <f t="shared" ref="C18:D18" si="0">C17/9</f>
        <v>0.77777777777777779</v>
      </c>
      <c r="D18" s="39">
        <f t="shared" si="0"/>
        <v>0.22222222222222221</v>
      </c>
      <c r="E18" s="2"/>
      <c r="F18" s="2"/>
      <c r="G18" s="2"/>
      <c r="H18" s="2"/>
      <c r="I18" s="2"/>
      <c r="J18" s="2"/>
      <c r="K18" s="2"/>
      <c r="L18" s="2"/>
      <c r="M18" s="2"/>
      <c r="N18" s="2"/>
      <c r="O18" s="2"/>
      <c r="P18" s="2"/>
      <c r="Q18" s="2"/>
      <c r="R18" s="2"/>
      <c r="S18" s="2"/>
      <c r="T18" s="2"/>
      <c r="U18" s="2"/>
      <c r="V18" s="2"/>
      <c r="W18" s="2"/>
      <c r="X18" s="2"/>
      <c r="Y18" s="2"/>
      <c r="Z18" s="2"/>
    </row>
    <row r="19" spans="1:26" ht="14.25" customHeight="1">
      <c r="A19" s="40"/>
      <c r="B19" s="40"/>
      <c r="C19" s="41"/>
      <c r="D19" s="2"/>
      <c r="E19" s="2"/>
      <c r="F19" s="2"/>
      <c r="G19" s="2"/>
      <c r="H19" s="2"/>
      <c r="I19" s="2"/>
      <c r="J19" s="2"/>
      <c r="K19" s="2"/>
      <c r="L19" s="2"/>
      <c r="M19" s="2"/>
      <c r="N19" s="2"/>
      <c r="O19" s="2"/>
      <c r="P19" s="2"/>
      <c r="Q19" s="2"/>
      <c r="R19" s="2"/>
      <c r="S19" s="2"/>
      <c r="T19" s="2"/>
      <c r="U19" s="2"/>
      <c r="V19" s="2"/>
      <c r="W19" s="2"/>
      <c r="X19" s="2"/>
      <c r="Y19" s="2"/>
      <c r="Z19" s="2"/>
    </row>
    <row r="20" spans="1:26" ht="23.4">
      <c r="A20" s="88" t="s">
        <v>196</v>
      </c>
      <c r="B20" s="71"/>
      <c r="C20" s="71"/>
      <c r="D20" s="72"/>
      <c r="E20" s="2"/>
      <c r="F20" s="2"/>
      <c r="G20" s="2"/>
      <c r="H20" s="2"/>
      <c r="I20" s="2"/>
      <c r="J20" s="2"/>
      <c r="K20" s="2"/>
      <c r="L20" s="2"/>
      <c r="M20" s="2"/>
      <c r="N20" s="2"/>
      <c r="O20" s="2"/>
      <c r="P20" s="2"/>
      <c r="Q20" s="2"/>
      <c r="R20" s="2"/>
      <c r="S20" s="2"/>
      <c r="T20" s="2"/>
      <c r="U20" s="2"/>
      <c r="V20" s="2"/>
      <c r="W20" s="2"/>
      <c r="X20" s="2"/>
      <c r="Y20" s="2"/>
      <c r="Z20" s="2"/>
    </row>
    <row r="21" spans="1:26" ht="15.75" customHeight="1">
      <c r="A21" s="42" t="s">
        <v>180</v>
      </c>
      <c r="B21" s="42" t="s">
        <v>181</v>
      </c>
      <c r="C21" s="43" t="s">
        <v>182</v>
      </c>
      <c r="D21" s="43" t="s">
        <v>183</v>
      </c>
      <c r="E21" s="2"/>
      <c r="F21" s="2"/>
      <c r="G21" s="2"/>
      <c r="H21" s="2"/>
      <c r="I21" s="2"/>
      <c r="J21" s="2"/>
      <c r="K21" s="2"/>
      <c r="L21" s="2"/>
      <c r="M21" s="2"/>
      <c r="N21" s="2"/>
      <c r="O21" s="2"/>
      <c r="P21" s="2"/>
      <c r="Q21" s="2"/>
      <c r="R21" s="2"/>
      <c r="S21" s="2"/>
      <c r="T21" s="2"/>
      <c r="U21" s="2"/>
      <c r="V21" s="2"/>
      <c r="W21" s="2"/>
      <c r="X21" s="2"/>
      <c r="Y21" s="2"/>
      <c r="Z21" s="2"/>
    </row>
    <row r="22" spans="1:26" ht="15.75" customHeight="1">
      <c r="A22" s="34">
        <v>1</v>
      </c>
      <c r="B22" s="35" t="s">
        <v>197</v>
      </c>
      <c r="C22" s="34" t="s">
        <v>185</v>
      </c>
      <c r="D22" s="34"/>
      <c r="E22" s="2"/>
      <c r="F22" s="2"/>
      <c r="G22" s="2"/>
      <c r="H22" s="2"/>
      <c r="I22" s="2"/>
      <c r="J22" s="2"/>
      <c r="K22" s="2"/>
      <c r="L22" s="2"/>
      <c r="M22" s="2"/>
      <c r="N22" s="2"/>
      <c r="O22" s="2"/>
      <c r="P22" s="2"/>
      <c r="Q22" s="2"/>
      <c r="R22" s="2"/>
      <c r="S22" s="2"/>
      <c r="T22" s="2"/>
      <c r="U22" s="2"/>
      <c r="V22" s="2"/>
      <c r="W22" s="2"/>
      <c r="X22" s="2"/>
      <c r="Y22" s="2"/>
      <c r="Z22" s="2"/>
    </row>
    <row r="23" spans="1:26" ht="15.75" customHeight="1">
      <c r="A23" s="34">
        <v>2</v>
      </c>
      <c r="B23" s="35" t="s">
        <v>198</v>
      </c>
      <c r="C23" s="34" t="s">
        <v>185</v>
      </c>
      <c r="D23" s="34"/>
      <c r="E23" s="2"/>
      <c r="F23" s="2"/>
      <c r="G23" s="2"/>
      <c r="H23" s="2"/>
      <c r="I23" s="2"/>
      <c r="J23" s="2"/>
      <c r="K23" s="2"/>
      <c r="L23" s="2"/>
      <c r="M23" s="2"/>
      <c r="N23" s="2"/>
      <c r="O23" s="2"/>
      <c r="P23" s="2"/>
      <c r="Q23" s="2"/>
      <c r="R23" s="2"/>
      <c r="S23" s="2"/>
      <c r="T23" s="2"/>
      <c r="U23" s="2"/>
      <c r="V23" s="2"/>
      <c r="W23" s="2"/>
      <c r="X23" s="2"/>
      <c r="Y23" s="2"/>
      <c r="Z23" s="2"/>
    </row>
    <row r="24" spans="1:26" ht="15.75" customHeight="1">
      <c r="A24" s="34">
        <v>3</v>
      </c>
      <c r="B24" s="35" t="s">
        <v>199</v>
      </c>
      <c r="C24" s="34" t="s">
        <v>185</v>
      </c>
      <c r="D24" s="34"/>
      <c r="E24" s="2"/>
      <c r="F24" s="2"/>
      <c r="G24" s="2"/>
      <c r="H24" s="2"/>
      <c r="I24" s="2"/>
      <c r="J24" s="2"/>
      <c r="K24" s="2"/>
      <c r="L24" s="2"/>
      <c r="M24" s="2"/>
      <c r="N24" s="2"/>
      <c r="O24" s="2"/>
      <c r="P24" s="2"/>
      <c r="Q24" s="2"/>
      <c r="R24" s="2"/>
      <c r="S24" s="2"/>
      <c r="T24" s="2"/>
      <c r="U24" s="2"/>
      <c r="V24" s="2"/>
      <c r="W24" s="2"/>
      <c r="X24" s="2"/>
      <c r="Y24" s="2"/>
      <c r="Z24" s="2"/>
    </row>
    <row r="25" spans="1:26" ht="15.75" customHeight="1">
      <c r="A25" s="34">
        <v>4</v>
      </c>
      <c r="B25" s="35" t="s">
        <v>200</v>
      </c>
      <c r="C25" s="34"/>
      <c r="D25" s="36" t="s">
        <v>185</v>
      </c>
      <c r="E25" s="2"/>
      <c r="F25" s="2"/>
      <c r="G25" s="2"/>
      <c r="H25" s="2"/>
      <c r="I25" s="2"/>
      <c r="J25" s="2"/>
      <c r="K25" s="2"/>
      <c r="L25" s="2"/>
      <c r="M25" s="2"/>
      <c r="N25" s="2"/>
      <c r="O25" s="2"/>
      <c r="P25" s="2"/>
      <c r="Q25" s="2"/>
      <c r="R25" s="2"/>
      <c r="S25" s="2"/>
      <c r="T25" s="2"/>
      <c r="U25" s="2"/>
      <c r="V25" s="2"/>
      <c r="W25" s="2"/>
      <c r="X25" s="2"/>
      <c r="Y25" s="2"/>
      <c r="Z25" s="2"/>
    </row>
    <row r="26" spans="1:26" ht="15.75" customHeight="1">
      <c r="A26" s="34">
        <v>5</v>
      </c>
      <c r="B26" s="35" t="s">
        <v>201</v>
      </c>
      <c r="C26" s="34" t="s">
        <v>185</v>
      </c>
      <c r="D26" s="34"/>
      <c r="E26" s="2"/>
      <c r="F26" s="2"/>
      <c r="G26" s="2"/>
      <c r="H26" s="2"/>
      <c r="I26" s="2"/>
      <c r="J26" s="2"/>
      <c r="K26" s="2"/>
      <c r="L26" s="2"/>
      <c r="M26" s="2"/>
      <c r="N26" s="2"/>
      <c r="O26" s="2"/>
      <c r="P26" s="2"/>
      <c r="Q26" s="2"/>
      <c r="R26" s="2"/>
      <c r="S26" s="2"/>
      <c r="T26" s="2"/>
      <c r="U26" s="2"/>
      <c r="V26" s="2"/>
      <c r="W26" s="2"/>
      <c r="X26" s="2"/>
      <c r="Y26" s="2"/>
      <c r="Z26" s="2"/>
    </row>
    <row r="27" spans="1:26" ht="15.75" customHeight="1">
      <c r="A27" s="86" t="s">
        <v>194</v>
      </c>
      <c r="B27" s="72"/>
      <c r="C27" s="45">
        <v>4</v>
      </c>
      <c r="D27" s="45">
        <v>1</v>
      </c>
      <c r="E27" s="2"/>
      <c r="F27" s="2"/>
      <c r="G27" s="2"/>
      <c r="H27" s="2"/>
      <c r="I27" s="2"/>
      <c r="J27" s="2"/>
      <c r="K27" s="2"/>
      <c r="L27" s="2"/>
      <c r="M27" s="2"/>
      <c r="N27" s="2"/>
      <c r="O27" s="2"/>
      <c r="P27" s="2"/>
      <c r="Q27" s="2"/>
      <c r="R27" s="2"/>
      <c r="S27" s="2"/>
      <c r="T27" s="2"/>
      <c r="U27" s="2"/>
      <c r="V27" s="2"/>
      <c r="W27" s="2"/>
      <c r="X27" s="2"/>
      <c r="Y27" s="2"/>
      <c r="Z27" s="2"/>
    </row>
    <row r="28" spans="1:26" ht="15.75" customHeight="1">
      <c r="A28" s="86" t="s">
        <v>195</v>
      </c>
      <c r="B28" s="72"/>
      <c r="C28" s="39">
        <f t="shared" ref="C28:D28" si="1">C27/5</f>
        <v>0.8</v>
      </c>
      <c r="D28" s="39">
        <f t="shared" si="1"/>
        <v>0.2</v>
      </c>
      <c r="E28" s="2"/>
      <c r="F28" s="2"/>
      <c r="G28" s="2"/>
      <c r="H28" s="2"/>
      <c r="I28" s="2"/>
      <c r="J28" s="2"/>
      <c r="K28" s="2"/>
      <c r="L28" s="2"/>
      <c r="M28" s="2"/>
      <c r="N28" s="2"/>
      <c r="O28" s="2"/>
      <c r="P28" s="2"/>
      <c r="Q28" s="2"/>
      <c r="R28" s="2"/>
      <c r="S28" s="2"/>
      <c r="T28" s="2"/>
      <c r="U28" s="2"/>
      <c r="V28" s="2"/>
      <c r="W28" s="2"/>
      <c r="X28" s="2"/>
      <c r="Y28" s="2"/>
      <c r="Z28" s="2"/>
    </row>
    <row r="29" spans="1:26" ht="14.25" customHeight="1">
      <c r="A29" s="40"/>
      <c r="B29" s="40"/>
      <c r="C29" s="41"/>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88" t="s">
        <v>202</v>
      </c>
      <c r="B30" s="71"/>
      <c r="C30" s="71"/>
      <c r="D30" s="72"/>
      <c r="E30" s="2"/>
      <c r="F30" s="2"/>
      <c r="G30" s="2"/>
      <c r="H30" s="2"/>
      <c r="I30" s="2"/>
      <c r="J30" s="2"/>
      <c r="K30" s="2"/>
      <c r="L30" s="2"/>
      <c r="M30" s="2"/>
      <c r="N30" s="2"/>
      <c r="O30" s="2"/>
      <c r="P30" s="2"/>
      <c r="Q30" s="2"/>
      <c r="R30" s="2"/>
      <c r="S30" s="2"/>
      <c r="T30" s="2"/>
      <c r="U30" s="2"/>
      <c r="V30" s="2"/>
      <c r="W30" s="2"/>
      <c r="X30" s="2"/>
      <c r="Y30" s="2"/>
      <c r="Z30" s="2"/>
    </row>
    <row r="31" spans="1:26" ht="15.75" customHeight="1">
      <c r="A31" s="42" t="s">
        <v>180</v>
      </c>
      <c r="B31" s="42" t="s">
        <v>181</v>
      </c>
      <c r="C31" s="43" t="s">
        <v>182</v>
      </c>
      <c r="D31" s="43" t="s">
        <v>183</v>
      </c>
      <c r="E31" s="2"/>
      <c r="F31" s="2"/>
      <c r="G31" s="2"/>
      <c r="H31" s="2"/>
      <c r="I31" s="2"/>
      <c r="J31" s="2"/>
      <c r="K31" s="2"/>
      <c r="L31" s="2"/>
      <c r="M31" s="2"/>
      <c r="N31" s="2"/>
      <c r="O31" s="2"/>
      <c r="P31" s="2"/>
      <c r="Q31" s="2"/>
      <c r="R31" s="2"/>
      <c r="S31" s="2"/>
      <c r="T31" s="2"/>
      <c r="U31" s="2"/>
      <c r="V31" s="2"/>
      <c r="W31" s="2"/>
      <c r="X31" s="2"/>
      <c r="Y31" s="2"/>
      <c r="Z31" s="2"/>
    </row>
    <row r="32" spans="1:26" ht="15.75" customHeight="1">
      <c r="A32" s="34">
        <v>1</v>
      </c>
      <c r="B32" s="35" t="s">
        <v>203</v>
      </c>
      <c r="C32" s="34" t="s">
        <v>185</v>
      </c>
      <c r="D32" s="34"/>
      <c r="E32" s="2"/>
      <c r="F32" s="2"/>
      <c r="G32" s="2"/>
      <c r="H32" s="2"/>
      <c r="I32" s="2"/>
      <c r="J32" s="2"/>
      <c r="K32" s="2"/>
      <c r="L32" s="2"/>
      <c r="M32" s="2"/>
      <c r="N32" s="2"/>
      <c r="O32" s="2"/>
      <c r="P32" s="2"/>
      <c r="Q32" s="2"/>
      <c r="R32" s="2"/>
      <c r="S32" s="2"/>
      <c r="T32" s="2"/>
      <c r="U32" s="2"/>
      <c r="V32" s="2"/>
      <c r="W32" s="2"/>
      <c r="X32" s="2"/>
      <c r="Y32" s="2"/>
      <c r="Z32" s="2"/>
    </row>
    <row r="33" spans="1:26" ht="15.75" customHeight="1">
      <c r="A33" s="34">
        <v>2</v>
      </c>
      <c r="B33" s="35" t="s">
        <v>204</v>
      </c>
      <c r="C33" s="34" t="s">
        <v>185</v>
      </c>
      <c r="D33" s="34"/>
      <c r="E33" s="2"/>
      <c r="F33" s="2"/>
      <c r="G33" s="2"/>
      <c r="H33" s="2"/>
      <c r="I33" s="2"/>
      <c r="J33" s="2"/>
      <c r="K33" s="2"/>
      <c r="L33" s="2"/>
      <c r="M33" s="2"/>
      <c r="N33" s="2"/>
      <c r="O33" s="2"/>
      <c r="P33" s="2"/>
      <c r="Q33" s="2"/>
      <c r="R33" s="2"/>
      <c r="S33" s="2"/>
      <c r="T33" s="2"/>
      <c r="U33" s="2"/>
      <c r="V33" s="2"/>
      <c r="W33" s="2"/>
      <c r="X33" s="2"/>
      <c r="Y33" s="2"/>
      <c r="Z33" s="2"/>
    </row>
    <row r="34" spans="1:26" ht="15.75" customHeight="1">
      <c r="A34" s="34">
        <v>3</v>
      </c>
      <c r="B34" s="35" t="s">
        <v>205</v>
      </c>
      <c r="C34" s="34"/>
      <c r="D34" s="36" t="s">
        <v>185</v>
      </c>
      <c r="E34" s="2"/>
      <c r="F34" s="2"/>
      <c r="G34" s="2"/>
      <c r="H34" s="2"/>
      <c r="I34" s="2"/>
      <c r="J34" s="2"/>
      <c r="K34" s="2"/>
      <c r="L34" s="2"/>
      <c r="M34" s="2"/>
      <c r="N34" s="2"/>
      <c r="O34" s="2"/>
      <c r="P34" s="2"/>
      <c r="Q34" s="2"/>
      <c r="R34" s="2"/>
      <c r="S34" s="2"/>
      <c r="T34" s="2"/>
      <c r="U34" s="2"/>
      <c r="V34" s="2"/>
      <c r="W34" s="2"/>
      <c r="X34" s="2"/>
      <c r="Y34" s="2"/>
      <c r="Z34" s="2"/>
    </row>
    <row r="35" spans="1:26" ht="15.75" customHeight="1">
      <c r="A35" s="86" t="s">
        <v>194</v>
      </c>
      <c r="B35" s="72"/>
      <c r="C35" s="45">
        <v>2</v>
      </c>
      <c r="D35" s="45">
        <v>1</v>
      </c>
      <c r="E35" s="2"/>
      <c r="F35" s="2"/>
      <c r="G35" s="2"/>
      <c r="H35" s="2"/>
      <c r="I35" s="2"/>
      <c r="J35" s="2"/>
      <c r="K35" s="2"/>
      <c r="L35" s="2"/>
      <c r="M35" s="2"/>
      <c r="N35" s="2"/>
      <c r="O35" s="2"/>
      <c r="P35" s="2"/>
      <c r="Q35" s="2"/>
      <c r="R35" s="2"/>
      <c r="S35" s="2"/>
      <c r="T35" s="2"/>
      <c r="U35" s="2"/>
      <c r="V35" s="2"/>
      <c r="W35" s="2"/>
      <c r="X35" s="2"/>
      <c r="Y35" s="2"/>
      <c r="Z35" s="2"/>
    </row>
    <row r="36" spans="1:26" ht="15.75" customHeight="1">
      <c r="A36" s="86" t="s">
        <v>195</v>
      </c>
      <c r="B36" s="72"/>
      <c r="C36" s="39">
        <f t="shared" ref="C36:D36" si="2">C35/3</f>
        <v>0.66666666666666663</v>
      </c>
      <c r="D36" s="39">
        <f t="shared" si="2"/>
        <v>0.33333333333333331</v>
      </c>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87" t="s">
        <v>206</v>
      </c>
      <c r="C40" s="72"/>
      <c r="D40" s="48"/>
      <c r="E40" s="2"/>
      <c r="F40" s="2"/>
      <c r="G40" s="2"/>
      <c r="H40" s="2"/>
      <c r="I40" s="2"/>
      <c r="J40" s="2"/>
      <c r="K40" s="2"/>
      <c r="L40" s="2"/>
      <c r="M40" s="2"/>
      <c r="N40" s="2"/>
      <c r="O40" s="2"/>
      <c r="P40" s="2"/>
      <c r="Q40" s="2"/>
      <c r="R40" s="2"/>
      <c r="S40" s="2"/>
      <c r="T40" s="2"/>
      <c r="U40" s="2"/>
      <c r="V40" s="2"/>
      <c r="W40" s="2"/>
      <c r="X40" s="2"/>
      <c r="Y40" s="2"/>
      <c r="Z40" s="2"/>
    </row>
    <row r="41" spans="1:26" ht="30" customHeight="1">
      <c r="A41" s="2"/>
      <c r="B41" s="44" t="s">
        <v>207</v>
      </c>
      <c r="C41" s="45">
        <v>78</v>
      </c>
      <c r="D41" s="2"/>
      <c r="E41" s="2"/>
      <c r="F41" s="2"/>
      <c r="G41" s="2"/>
      <c r="H41" s="2"/>
      <c r="I41" s="2"/>
      <c r="J41" s="2"/>
      <c r="K41" s="2"/>
      <c r="L41" s="2"/>
      <c r="M41" s="2"/>
      <c r="N41" s="2"/>
      <c r="O41" s="2"/>
      <c r="P41" s="2"/>
      <c r="Q41" s="2"/>
      <c r="R41" s="2"/>
      <c r="S41" s="2"/>
      <c r="T41" s="2"/>
      <c r="U41" s="2"/>
      <c r="V41" s="2"/>
      <c r="W41" s="2"/>
      <c r="X41" s="2"/>
      <c r="Y41" s="2"/>
      <c r="Z41" s="2"/>
    </row>
    <row r="42" spans="1:26" ht="30" customHeight="1">
      <c r="A42" s="2"/>
      <c r="B42" s="44" t="s">
        <v>196</v>
      </c>
      <c r="C42" s="45">
        <v>80</v>
      </c>
      <c r="D42" s="2"/>
      <c r="E42" s="2"/>
      <c r="F42" s="2"/>
      <c r="G42" s="2"/>
      <c r="H42" s="2"/>
      <c r="I42" s="2"/>
      <c r="J42" s="2"/>
      <c r="K42" s="2"/>
      <c r="L42" s="2"/>
      <c r="M42" s="2"/>
      <c r="N42" s="2"/>
      <c r="O42" s="2"/>
      <c r="P42" s="2"/>
      <c r="Q42" s="2"/>
      <c r="R42" s="2"/>
      <c r="S42" s="2"/>
      <c r="T42" s="2"/>
      <c r="U42" s="2"/>
      <c r="V42" s="2"/>
      <c r="W42" s="2"/>
      <c r="X42" s="2"/>
      <c r="Y42" s="2"/>
      <c r="Z42" s="2"/>
    </row>
    <row r="43" spans="1:26" ht="30" customHeight="1">
      <c r="A43" s="2"/>
      <c r="B43" s="44" t="s">
        <v>202</v>
      </c>
      <c r="C43" s="45">
        <v>67</v>
      </c>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15" priority="1" operator="containsText" text="X">
      <formula>NOT(ISERROR(SEARCH(("X"),(A32))))</formula>
    </cfRule>
  </conditionalFormatting>
  <conditionalFormatting sqref="C8:D16 C22:C26 C32:D34 H8:I16 H22:H26 H32:I34 M8:N16 M22:M26 M32:N34">
    <cfRule type="containsText" dxfId="14" priority="2" operator="containsText" text="X">
      <formula>NOT(ISERROR(SEARCH(("X"),(C8))))</formula>
    </cfRule>
  </conditionalFormatting>
  <conditionalFormatting sqref="C8:D16 C22:C26 C32:D34 H8:I16 H22:H26 H32:I34 M8:N16 M22:M26 M32:N34">
    <cfRule type="containsText" dxfId="13" priority="3" operator="containsText" text="X">
      <formula>NOT(ISERROR(SEARCH(("X"),(C8))))</formula>
    </cfRule>
  </conditionalFormatting>
  <conditionalFormatting sqref="C8:D16 C22:C26 C32:D34 H8:I16 H22:H26 H32:I34 M8:N16 M22:M26 M32:N34">
    <cfRule type="containsText" dxfId="12" priority="4" operator="containsText" text="X">
      <formula>NOT(ISERROR(SEARCH(("X"),(C8))))</formula>
    </cfRule>
  </conditionalFormatting>
  <conditionalFormatting sqref="C22:D26 H22:I26 M22:N26">
    <cfRule type="containsText" dxfId="11" priority="5" operator="containsText" text="X">
      <formula>NOT(ISERROR(SEARCH(("X"),(C22))))</formula>
    </cfRule>
  </conditionalFormatting>
  <conditionalFormatting sqref="C22:D26 H22:I26 M22:N26">
    <cfRule type="containsText" dxfId="10" priority="6" operator="containsText" text="X">
      <formula>NOT(ISERROR(SEARCH(("X"),(C22))))</formula>
    </cfRule>
  </conditionalFormatting>
  <conditionalFormatting sqref="C8:D16 C22:C26 C32:D34 H8:I16 H22:H26 H32:I34 M8:N16 M22:M26 M32:N34">
    <cfRule type="containsText" dxfId="9" priority="7" operator="containsText" text="X">
      <formula>NOT(ISERROR(SEARCH(("X"),(C8))))</formula>
    </cfRule>
  </conditionalFormatting>
  <conditionalFormatting sqref="C32:D34 H32:I34 M32:N34">
    <cfRule type="containsText" dxfId="8"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abSelected="1" zoomScale="70" zoomScaleNormal="70" workbookViewId="0">
      <selection activeCell="G50" sqref="G50"/>
    </sheetView>
  </sheetViews>
  <sheetFormatPr baseColWidth="10" defaultColWidth="14.44140625" defaultRowHeight="15" customHeight="1"/>
  <cols>
    <col min="1" max="1" width="10.6640625" customWidth="1"/>
    <col min="2" max="2" width="36.6640625" customWidth="1"/>
    <col min="3" max="3" width="23" customWidth="1"/>
    <col min="4" max="4" width="20.6640625" customWidth="1"/>
    <col min="5" max="6" width="10.6640625" customWidth="1"/>
    <col min="7" max="7" width="36.6640625" customWidth="1"/>
    <col min="8" max="8" width="20.5546875" customWidth="1"/>
    <col min="9" max="9" width="21.6640625" customWidth="1"/>
    <col min="10" max="11" width="10.6640625" customWidth="1"/>
    <col min="12" max="12" width="36.6640625" customWidth="1"/>
    <col min="13" max="13" width="20.5546875" customWidth="1"/>
    <col min="14" max="14" width="21.5546875" customWidth="1"/>
    <col min="15" max="24" width="10.6640625" customWidth="1"/>
  </cols>
  <sheetData>
    <row r="1" spans="1:26" ht="18">
      <c r="A1" s="81" t="s">
        <v>1</v>
      </c>
      <c r="B1" s="72"/>
      <c r="C1" s="82" t="s">
        <v>2</v>
      </c>
      <c r="D1" s="72"/>
      <c r="E1" s="32"/>
      <c r="F1" s="2"/>
      <c r="G1" s="2"/>
      <c r="H1" s="2"/>
      <c r="I1" s="2"/>
      <c r="J1" s="2"/>
      <c r="K1" s="2"/>
      <c r="L1" s="2"/>
      <c r="M1" s="2"/>
      <c r="N1" s="2"/>
      <c r="O1" s="32"/>
      <c r="P1" s="32"/>
      <c r="Q1" s="32"/>
      <c r="R1" s="32"/>
      <c r="S1" s="32"/>
      <c r="T1" s="32"/>
      <c r="U1" s="32"/>
      <c r="V1" s="32"/>
      <c r="W1" s="32"/>
      <c r="X1" s="32"/>
      <c r="Y1" s="32"/>
      <c r="Z1" s="32"/>
    </row>
    <row r="2" spans="1:26" ht="18">
      <c r="A2" s="83" t="s">
        <v>175</v>
      </c>
      <c r="B2" s="72"/>
      <c r="C2" s="84">
        <v>46160</v>
      </c>
      <c r="D2" s="72"/>
      <c r="E2" s="2"/>
      <c r="F2" s="2"/>
      <c r="G2" s="2"/>
      <c r="H2" s="2"/>
      <c r="I2" s="2"/>
      <c r="J2" s="2"/>
      <c r="K2" s="2"/>
      <c r="L2" s="2"/>
      <c r="M2" s="2"/>
      <c r="N2" s="2"/>
      <c r="O2" s="2"/>
      <c r="P2" s="2"/>
      <c r="Q2" s="2"/>
      <c r="R2" s="2"/>
      <c r="S2" s="2"/>
      <c r="T2" s="2"/>
      <c r="U2" s="2"/>
      <c r="V2" s="2"/>
      <c r="W2" s="2"/>
      <c r="X2" s="2"/>
      <c r="Y2" s="2"/>
      <c r="Z2" s="2"/>
    </row>
    <row r="3" spans="1:26" ht="18">
      <c r="A3" s="83" t="s">
        <v>176</v>
      </c>
      <c r="B3" s="72"/>
      <c r="C3" s="85" t="s">
        <v>209</v>
      </c>
      <c r="D3" s="72"/>
      <c r="E3" s="2"/>
      <c r="F3" s="2"/>
      <c r="G3" s="2"/>
      <c r="H3" s="2"/>
      <c r="I3" s="2"/>
      <c r="J3" s="2"/>
      <c r="K3" s="2"/>
      <c r="L3" s="2"/>
      <c r="M3" s="2"/>
      <c r="N3" s="2"/>
      <c r="O3" s="2"/>
      <c r="P3" s="2"/>
      <c r="Q3" s="2"/>
      <c r="R3" s="2"/>
      <c r="S3" s="2"/>
      <c r="T3" s="2"/>
      <c r="U3" s="2"/>
      <c r="V3" s="2"/>
      <c r="W3" s="2"/>
      <c r="X3" s="2"/>
      <c r="Y3" s="2"/>
      <c r="Z3" s="2"/>
    </row>
    <row r="4" spans="1:26" ht="18" customHeight="1">
      <c r="A4" s="83" t="s">
        <v>178</v>
      </c>
      <c r="B4" s="72"/>
      <c r="C4" s="85" t="s">
        <v>269</v>
      </c>
      <c r="D4" s="72"/>
      <c r="E4" s="2"/>
      <c r="F4" s="2"/>
      <c r="G4" s="2"/>
      <c r="H4" s="2"/>
      <c r="I4" s="2"/>
      <c r="J4" s="2"/>
      <c r="K4" s="2"/>
      <c r="L4" s="2"/>
      <c r="M4" s="2"/>
      <c r="N4" s="2"/>
      <c r="O4" s="2"/>
      <c r="P4" s="2"/>
      <c r="Q4" s="2"/>
      <c r="R4" s="2"/>
      <c r="S4" s="2"/>
      <c r="T4" s="2"/>
      <c r="U4" s="2"/>
      <c r="V4" s="2"/>
      <c r="W4" s="2"/>
      <c r="X4" s="2"/>
      <c r="Y4" s="2"/>
      <c r="Z4" s="2"/>
    </row>
    <row r="5" spans="1:26" ht="14.25" customHeight="1">
      <c r="A5" s="2"/>
      <c r="B5" s="2"/>
      <c r="C5" s="2"/>
      <c r="D5" s="2"/>
      <c r="E5" s="2"/>
      <c r="F5" s="2"/>
      <c r="G5" s="2"/>
      <c r="H5" s="2"/>
      <c r="I5" s="2"/>
      <c r="J5" s="2"/>
      <c r="K5" s="2"/>
      <c r="L5" s="2"/>
      <c r="M5" s="2"/>
      <c r="N5" s="2"/>
      <c r="O5" s="2"/>
      <c r="P5" s="2"/>
      <c r="Q5" s="2"/>
      <c r="R5" s="2"/>
      <c r="S5" s="2"/>
      <c r="T5" s="2"/>
      <c r="U5" s="2"/>
      <c r="V5" s="2"/>
      <c r="W5" s="2"/>
      <c r="X5" s="2"/>
      <c r="Y5" s="2"/>
      <c r="Z5" s="2"/>
    </row>
    <row r="6" spans="1:26" ht="23.4">
      <c r="A6" s="88" t="s">
        <v>179</v>
      </c>
      <c r="B6" s="71"/>
      <c r="C6" s="71"/>
      <c r="D6" s="72"/>
      <c r="E6" s="2"/>
      <c r="F6" s="2"/>
      <c r="G6" s="2"/>
      <c r="H6" s="2"/>
      <c r="I6" s="2"/>
      <c r="J6" s="2"/>
      <c r="K6" s="2"/>
      <c r="L6" s="2"/>
      <c r="M6" s="2"/>
      <c r="N6" s="2"/>
      <c r="O6" s="2"/>
      <c r="P6" s="2"/>
      <c r="Q6" s="2"/>
      <c r="R6" s="2"/>
      <c r="S6" s="2"/>
      <c r="T6" s="2"/>
      <c r="U6" s="2"/>
      <c r="V6" s="2"/>
      <c r="W6" s="2"/>
      <c r="X6" s="2"/>
      <c r="Y6" s="2"/>
      <c r="Z6" s="2"/>
    </row>
    <row r="7" spans="1:26" ht="18">
      <c r="A7" s="33" t="s">
        <v>180</v>
      </c>
      <c r="B7" s="33" t="s">
        <v>181</v>
      </c>
      <c r="C7" s="33" t="s">
        <v>182</v>
      </c>
      <c r="D7" s="33" t="s">
        <v>183</v>
      </c>
      <c r="E7" s="2"/>
      <c r="F7" s="2"/>
      <c r="G7" s="2"/>
      <c r="H7" s="2"/>
      <c r="I7" s="2"/>
      <c r="J7" s="2"/>
      <c r="K7" s="2"/>
      <c r="L7" s="2"/>
      <c r="M7" s="2"/>
      <c r="N7" s="2"/>
      <c r="O7" s="2"/>
      <c r="P7" s="2"/>
      <c r="Q7" s="2"/>
      <c r="R7" s="2"/>
      <c r="S7" s="2"/>
      <c r="T7" s="2"/>
      <c r="U7" s="2"/>
      <c r="V7" s="2"/>
      <c r="W7" s="2"/>
      <c r="X7" s="2"/>
      <c r="Y7" s="2"/>
      <c r="Z7" s="2"/>
    </row>
    <row r="8" spans="1:26" ht="28.8">
      <c r="A8" s="34">
        <v>1</v>
      </c>
      <c r="B8" s="35" t="s">
        <v>184</v>
      </c>
      <c r="C8" s="34" t="s">
        <v>185</v>
      </c>
      <c r="D8" s="34"/>
      <c r="E8" s="2"/>
      <c r="F8" s="2"/>
      <c r="G8" s="2"/>
      <c r="H8" s="2"/>
      <c r="I8" s="2"/>
      <c r="J8" s="2"/>
      <c r="K8" s="2"/>
      <c r="L8" s="2"/>
      <c r="M8" s="2"/>
      <c r="N8" s="2"/>
      <c r="O8" s="2"/>
      <c r="P8" s="2"/>
      <c r="Q8" s="2"/>
      <c r="R8" s="2"/>
      <c r="S8" s="2"/>
      <c r="T8" s="2"/>
      <c r="U8" s="2"/>
      <c r="V8" s="2"/>
      <c r="W8" s="2"/>
      <c r="X8" s="2"/>
      <c r="Y8" s="2"/>
      <c r="Z8" s="2"/>
    </row>
    <row r="9" spans="1:26" ht="28.8">
      <c r="A9" s="34">
        <v>2</v>
      </c>
      <c r="B9" s="35" t="s">
        <v>186</v>
      </c>
      <c r="C9" s="34"/>
      <c r="D9" s="34" t="s">
        <v>185</v>
      </c>
      <c r="E9" s="2"/>
      <c r="F9" s="2"/>
      <c r="G9" s="2"/>
      <c r="H9" s="2"/>
      <c r="I9" s="2"/>
      <c r="J9" s="2"/>
      <c r="K9" s="2"/>
      <c r="L9" s="2"/>
      <c r="M9" s="2"/>
      <c r="N9" s="2"/>
      <c r="O9" s="2"/>
      <c r="P9" s="2"/>
      <c r="Q9" s="2"/>
      <c r="R9" s="2"/>
      <c r="S9" s="2"/>
      <c r="T9" s="2"/>
      <c r="U9" s="2"/>
      <c r="V9" s="2"/>
      <c r="W9" s="2"/>
      <c r="X9" s="2"/>
      <c r="Y9" s="2"/>
      <c r="Z9" s="2"/>
    </row>
    <row r="10" spans="1:26" ht="57.6">
      <c r="A10" s="34">
        <v>3</v>
      </c>
      <c r="B10" s="35" t="s">
        <v>187</v>
      </c>
      <c r="C10" s="34"/>
      <c r="D10" s="37" t="s">
        <v>185</v>
      </c>
      <c r="E10" s="2"/>
      <c r="F10" s="2"/>
      <c r="G10" s="2"/>
      <c r="H10" s="2"/>
      <c r="I10" s="2"/>
      <c r="J10" s="2"/>
      <c r="K10" s="2"/>
      <c r="L10" s="2"/>
      <c r="M10" s="2"/>
      <c r="N10" s="2"/>
      <c r="O10" s="2"/>
      <c r="P10" s="2"/>
      <c r="Q10" s="2"/>
      <c r="R10" s="2"/>
      <c r="S10" s="2"/>
      <c r="T10" s="2"/>
      <c r="U10" s="2"/>
      <c r="V10" s="2"/>
      <c r="W10" s="2"/>
      <c r="X10" s="2"/>
      <c r="Y10" s="2"/>
      <c r="Z10" s="2"/>
    </row>
    <row r="11" spans="1:26" ht="28.8">
      <c r="A11" s="34">
        <v>4</v>
      </c>
      <c r="B11" s="35" t="s">
        <v>188</v>
      </c>
      <c r="C11" s="34"/>
      <c r="D11" s="34" t="s">
        <v>185</v>
      </c>
      <c r="E11" s="2"/>
      <c r="F11" s="2"/>
      <c r="G11" s="2"/>
      <c r="H11" s="2"/>
      <c r="I11" s="2"/>
      <c r="J11" s="2"/>
      <c r="K11" s="2"/>
      <c r="L11" s="2"/>
      <c r="M11" s="2"/>
      <c r="N11" s="2"/>
      <c r="O11" s="2"/>
      <c r="P11" s="2"/>
      <c r="Q11" s="2"/>
      <c r="R11" s="2"/>
      <c r="S11" s="2"/>
      <c r="T11" s="2"/>
      <c r="U11" s="2"/>
      <c r="V11" s="2"/>
      <c r="W11" s="2"/>
      <c r="X11" s="2"/>
      <c r="Y11" s="2"/>
      <c r="Z11" s="2"/>
    </row>
    <row r="12" spans="1:26" ht="28.8">
      <c r="A12" s="34">
        <v>5</v>
      </c>
      <c r="B12" s="35" t="s">
        <v>189</v>
      </c>
      <c r="C12" s="34" t="s">
        <v>185</v>
      </c>
      <c r="D12" s="34"/>
      <c r="E12" s="2"/>
      <c r="F12" s="2"/>
      <c r="G12" s="2"/>
      <c r="H12" s="2"/>
      <c r="I12" s="2"/>
      <c r="J12" s="2"/>
      <c r="K12" s="2"/>
      <c r="L12" s="2"/>
      <c r="M12" s="2"/>
      <c r="N12" s="2"/>
      <c r="O12" s="2"/>
      <c r="P12" s="2"/>
      <c r="Q12" s="2"/>
      <c r="R12" s="2"/>
      <c r="S12" s="2"/>
      <c r="T12" s="2"/>
      <c r="U12" s="2"/>
      <c r="V12" s="2"/>
      <c r="W12" s="2"/>
      <c r="X12" s="2"/>
      <c r="Y12" s="2"/>
      <c r="Z12" s="2"/>
    </row>
    <row r="13" spans="1:26" ht="28.8">
      <c r="A13" s="34">
        <v>6</v>
      </c>
      <c r="B13" s="35" t="s">
        <v>190</v>
      </c>
      <c r="C13" s="34" t="s">
        <v>185</v>
      </c>
      <c r="D13" s="34"/>
      <c r="E13" s="2"/>
      <c r="F13" s="2"/>
      <c r="G13" s="2"/>
      <c r="H13" s="2"/>
      <c r="I13" s="2"/>
      <c r="J13" s="2"/>
      <c r="K13" s="2"/>
      <c r="L13" s="2"/>
      <c r="M13" s="2"/>
      <c r="N13" s="2"/>
      <c r="O13" s="2"/>
      <c r="P13" s="2"/>
      <c r="Q13" s="2"/>
      <c r="R13" s="2"/>
      <c r="S13" s="2"/>
      <c r="T13" s="2"/>
      <c r="U13" s="2"/>
      <c r="V13" s="2"/>
      <c r="W13" s="2"/>
      <c r="X13" s="2"/>
      <c r="Y13" s="2"/>
      <c r="Z13" s="2"/>
    </row>
    <row r="14" spans="1:26" ht="28.8">
      <c r="A14" s="34">
        <v>7</v>
      </c>
      <c r="B14" s="35" t="s">
        <v>191</v>
      </c>
      <c r="C14" s="34"/>
      <c r="D14" s="36" t="s">
        <v>185</v>
      </c>
      <c r="E14" s="2"/>
      <c r="F14" s="2"/>
      <c r="G14" s="2"/>
      <c r="H14" s="2"/>
      <c r="I14" s="2"/>
      <c r="J14" s="2"/>
      <c r="K14" s="2"/>
      <c r="L14" s="2"/>
      <c r="M14" s="2"/>
      <c r="N14" s="2"/>
      <c r="O14" s="2"/>
      <c r="P14" s="2"/>
      <c r="Q14" s="2"/>
      <c r="R14" s="2"/>
      <c r="S14" s="2"/>
      <c r="T14" s="2"/>
      <c r="U14" s="2"/>
      <c r="V14" s="2"/>
      <c r="W14" s="2"/>
      <c r="X14" s="2"/>
      <c r="Y14" s="2"/>
      <c r="Z14" s="2"/>
    </row>
    <row r="15" spans="1:26" ht="43.2">
      <c r="A15" s="34">
        <v>8</v>
      </c>
      <c r="B15" s="35" t="s">
        <v>192</v>
      </c>
      <c r="C15" s="34" t="s">
        <v>185</v>
      </c>
      <c r="D15" s="34"/>
      <c r="E15" s="2"/>
      <c r="F15" s="2"/>
      <c r="G15" s="2"/>
      <c r="H15" s="2"/>
      <c r="I15" s="2"/>
      <c r="J15" s="2"/>
      <c r="K15" s="2"/>
      <c r="L15" s="2"/>
      <c r="M15" s="2"/>
      <c r="N15" s="2"/>
      <c r="O15" s="2"/>
      <c r="P15" s="2"/>
      <c r="Q15" s="2"/>
      <c r="R15" s="2"/>
      <c r="S15" s="2"/>
      <c r="T15" s="2"/>
      <c r="U15" s="2"/>
      <c r="V15" s="2"/>
      <c r="W15" s="2"/>
      <c r="X15" s="2"/>
      <c r="Y15" s="2"/>
      <c r="Z15" s="2"/>
    </row>
    <row r="16" spans="1:26" ht="57.6">
      <c r="A16" s="34">
        <v>9</v>
      </c>
      <c r="B16" s="35" t="s">
        <v>193</v>
      </c>
      <c r="C16" s="34" t="s">
        <v>185</v>
      </c>
      <c r="D16" s="34"/>
      <c r="E16" s="2"/>
      <c r="F16" s="2"/>
      <c r="G16" s="2"/>
      <c r="H16" s="2"/>
      <c r="I16" s="2"/>
      <c r="J16" s="2"/>
      <c r="K16" s="2"/>
      <c r="L16" s="2"/>
      <c r="M16" s="2"/>
      <c r="N16" s="2"/>
      <c r="O16" s="2"/>
      <c r="P16" s="2"/>
      <c r="Q16" s="2"/>
      <c r="R16" s="2"/>
      <c r="S16" s="2"/>
      <c r="T16" s="2"/>
      <c r="U16" s="2"/>
      <c r="V16" s="2"/>
      <c r="W16" s="2"/>
      <c r="X16" s="2"/>
      <c r="Y16" s="2"/>
      <c r="Z16" s="2"/>
    </row>
    <row r="17" spans="1:26" ht="18">
      <c r="A17" s="86" t="s">
        <v>194</v>
      </c>
      <c r="B17" s="72"/>
      <c r="C17" s="45">
        <v>5</v>
      </c>
      <c r="D17" s="45">
        <v>4</v>
      </c>
      <c r="E17" s="2"/>
      <c r="F17" s="2"/>
      <c r="G17" s="2"/>
      <c r="H17" s="2"/>
      <c r="I17" s="2"/>
      <c r="J17" s="2"/>
      <c r="K17" s="2"/>
      <c r="L17" s="2"/>
      <c r="M17" s="2"/>
      <c r="N17" s="2"/>
      <c r="O17" s="2"/>
      <c r="P17" s="2"/>
      <c r="Q17" s="2"/>
      <c r="R17" s="2"/>
      <c r="S17" s="2"/>
      <c r="T17" s="2"/>
      <c r="U17" s="2"/>
      <c r="V17" s="2"/>
      <c r="W17" s="2"/>
      <c r="X17" s="2"/>
      <c r="Y17" s="2"/>
      <c r="Z17" s="2"/>
    </row>
    <row r="18" spans="1:26" ht="18">
      <c r="A18" s="86" t="s">
        <v>195</v>
      </c>
      <c r="B18" s="72"/>
      <c r="C18" s="39">
        <f t="shared" ref="C18:D18" si="0">C17/9</f>
        <v>0.55555555555555558</v>
      </c>
      <c r="D18" s="39">
        <f t="shared" si="0"/>
        <v>0.44444444444444442</v>
      </c>
      <c r="E18" s="2"/>
      <c r="F18" s="2"/>
      <c r="G18" s="2"/>
      <c r="H18" s="2"/>
      <c r="I18" s="2"/>
      <c r="J18" s="2"/>
      <c r="K18" s="2"/>
      <c r="L18" s="2"/>
      <c r="M18" s="2"/>
      <c r="N18" s="2"/>
      <c r="O18" s="2"/>
      <c r="P18" s="2"/>
      <c r="Q18" s="2"/>
      <c r="R18" s="2"/>
      <c r="S18" s="2"/>
      <c r="T18" s="2"/>
      <c r="U18" s="2"/>
      <c r="V18" s="2"/>
      <c r="W18" s="2"/>
      <c r="X18" s="2"/>
      <c r="Y18" s="2"/>
      <c r="Z18" s="2"/>
    </row>
    <row r="19" spans="1:26" ht="14.25" customHeight="1">
      <c r="A19" s="40"/>
      <c r="B19" s="40"/>
      <c r="C19" s="41"/>
      <c r="D19" s="2"/>
      <c r="E19" s="2"/>
      <c r="F19" s="2"/>
      <c r="G19" s="2"/>
      <c r="H19" s="2"/>
      <c r="I19" s="2"/>
      <c r="J19" s="2"/>
      <c r="K19" s="2"/>
      <c r="L19" s="2"/>
      <c r="M19" s="2"/>
      <c r="N19" s="2"/>
      <c r="O19" s="2"/>
      <c r="P19" s="2"/>
      <c r="Q19" s="2"/>
      <c r="R19" s="2"/>
      <c r="S19" s="2"/>
      <c r="T19" s="2"/>
      <c r="U19" s="2"/>
      <c r="V19" s="2"/>
      <c r="W19" s="2"/>
      <c r="X19" s="2"/>
      <c r="Y19" s="2"/>
      <c r="Z19" s="2"/>
    </row>
    <row r="20" spans="1:26" ht="23.4">
      <c r="A20" s="88" t="s">
        <v>196</v>
      </c>
      <c r="B20" s="71"/>
      <c r="C20" s="71"/>
      <c r="D20" s="72"/>
      <c r="E20" s="2"/>
      <c r="F20" s="2"/>
      <c r="G20" s="2"/>
      <c r="H20" s="2"/>
      <c r="I20" s="2"/>
      <c r="J20" s="2"/>
      <c r="K20" s="2"/>
      <c r="L20" s="2"/>
      <c r="M20" s="2"/>
      <c r="N20" s="2"/>
      <c r="O20" s="2"/>
      <c r="P20" s="2"/>
      <c r="Q20" s="2"/>
      <c r="R20" s="2"/>
      <c r="S20" s="2"/>
      <c r="T20" s="2"/>
      <c r="U20" s="2"/>
      <c r="V20" s="2"/>
      <c r="W20" s="2"/>
      <c r="X20" s="2"/>
      <c r="Y20" s="2"/>
      <c r="Z20" s="2"/>
    </row>
    <row r="21" spans="1:26" ht="15.75" customHeight="1">
      <c r="A21" s="42" t="s">
        <v>180</v>
      </c>
      <c r="B21" s="42" t="s">
        <v>181</v>
      </c>
      <c r="C21" s="43" t="s">
        <v>182</v>
      </c>
      <c r="D21" s="43" t="s">
        <v>183</v>
      </c>
      <c r="E21" s="2"/>
      <c r="F21" s="2"/>
      <c r="G21" s="2"/>
      <c r="H21" s="2"/>
      <c r="I21" s="2"/>
      <c r="J21" s="2"/>
      <c r="K21" s="2"/>
      <c r="L21" s="2"/>
      <c r="M21" s="2"/>
      <c r="N21" s="2"/>
      <c r="O21" s="2"/>
      <c r="P21" s="2"/>
      <c r="Q21" s="2"/>
      <c r="R21" s="2"/>
      <c r="S21" s="2"/>
      <c r="T21" s="2"/>
      <c r="U21" s="2"/>
      <c r="V21" s="2"/>
      <c r="W21" s="2"/>
      <c r="X21" s="2"/>
      <c r="Y21" s="2"/>
      <c r="Z21" s="2"/>
    </row>
    <row r="22" spans="1:26" ht="15.75" customHeight="1">
      <c r="A22" s="34">
        <v>1</v>
      </c>
      <c r="B22" s="35" t="s">
        <v>197</v>
      </c>
      <c r="C22" s="34" t="s">
        <v>185</v>
      </c>
      <c r="D22" s="34"/>
      <c r="E22" s="2"/>
      <c r="F22" s="2"/>
      <c r="G22" s="2"/>
      <c r="H22" s="2"/>
      <c r="I22" s="2"/>
      <c r="J22" s="2"/>
      <c r="K22" s="2"/>
      <c r="L22" s="2"/>
      <c r="M22" s="2"/>
      <c r="N22" s="2"/>
      <c r="O22" s="2"/>
      <c r="P22" s="2"/>
      <c r="Q22" s="2"/>
      <c r="R22" s="2"/>
      <c r="S22" s="2"/>
      <c r="T22" s="2"/>
      <c r="U22" s="2"/>
      <c r="V22" s="2"/>
      <c r="W22" s="2"/>
      <c r="X22" s="2"/>
      <c r="Y22" s="2"/>
      <c r="Z22" s="2"/>
    </row>
    <row r="23" spans="1:26" ht="15.75" customHeight="1">
      <c r="A23" s="34">
        <v>2</v>
      </c>
      <c r="B23" s="35" t="s">
        <v>198</v>
      </c>
      <c r="C23" s="34" t="s">
        <v>185</v>
      </c>
      <c r="D23" s="34"/>
      <c r="E23" s="2"/>
      <c r="F23" s="2"/>
      <c r="G23" s="2"/>
      <c r="H23" s="2"/>
      <c r="I23" s="2"/>
      <c r="J23" s="2"/>
      <c r="K23" s="2"/>
      <c r="L23" s="2"/>
      <c r="M23" s="2"/>
      <c r="N23" s="2"/>
      <c r="O23" s="2"/>
      <c r="P23" s="2"/>
      <c r="Q23" s="2"/>
      <c r="R23" s="2"/>
      <c r="S23" s="2"/>
      <c r="T23" s="2"/>
      <c r="U23" s="2"/>
      <c r="V23" s="2"/>
      <c r="W23" s="2"/>
      <c r="X23" s="2"/>
      <c r="Y23" s="2"/>
      <c r="Z23" s="2"/>
    </row>
    <row r="24" spans="1:26" ht="15.75" customHeight="1">
      <c r="A24" s="34">
        <v>3</v>
      </c>
      <c r="B24" s="35" t="s">
        <v>199</v>
      </c>
      <c r="C24" s="34" t="s">
        <v>185</v>
      </c>
      <c r="D24" s="34"/>
      <c r="E24" s="2"/>
      <c r="F24" s="2"/>
      <c r="G24" s="2"/>
      <c r="H24" s="2"/>
      <c r="I24" s="2"/>
      <c r="J24" s="2"/>
      <c r="K24" s="2"/>
      <c r="L24" s="2"/>
      <c r="M24" s="2"/>
      <c r="N24" s="2"/>
      <c r="O24" s="2"/>
      <c r="P24" s="2"/>
      <c r="Q24" s="2"/>
      <c r="R24" s="2"/>
      <c r="S24" s="2"/>
      <c r="T24" s="2"/>
      <c r="U24" s="2"/>
      <c r="V24" s="2"/>
      <c r="W24" s="2"/>
      <c r="X24" s="2"/>
      <c r="Y24" s="2"/>
      <c r="Z24" s="2"/>
    </row>
    <row r="25" spans="1:26" ht="15.75" customHeight="1">
      <c r="A25" s="34">
        <v>4</v>
      </c>
      <c r="B25" s="35" t="s">
        <v>200</v>
      </c>
      <c r="C25" s="34"/>
      <c r="D25" s="36" t="s">
        <v>185</v>
      </c>
      <c r="E25" s="2"/>
      <c r="F25" s="2"/>
      <c r="G25" s="2"/>
      <c r="H25" s="2"/>
      <c r="I25" s="2"/>
      <c r="J25" s="2"/>
      <c r="K25" s="2"/>
      <c r="L25" s="2"/>
      <c r="M25" s="2"/>
      <c r="N25" s="2"/>
      <c r="O25" s="2"/>
      <c r="P25" s="2"/>
      <c r="Q25" s="2"/>
      <c r="R25" s="2"/>
      <c r="S25" s="2"/>
      <c r="T25" s="2"/>
      <c r="U25" s="2"/>
      <c r="V25" s="2"/>
      <c r="W25" s="2"/>
      <c r="X25" s="2"/>
      <c r="Y25" s="2"/>
      <c r="Z25" s="2"/>
    </row>
    <row r="26" spans="1:26" ht="15.75" customHeight="1">
      <c r="A26" s="34">
        <v>5</v>
      </c>
      <c r="B26" s="35" t="s">
        <v>201</v>
      </c>
      <c r="C26" s="34" t="s">
        <v>185</v>
      </c>
      <c r="D26" s="34"/>
      <c r="E26" s="2"/>
      <c r="F26" s="2"/>
      <c r="G26" s="2"/>
      <c r="H26" s="2"/>
      <c r="I26" s="2"/>
      <c r="J26" s="2"/>
      <c r="K26" s="2"/>
      <c r="L26" s="2"/>
      <c r="M26" s="2"/>
      <c r="N26" s="2"/>
      <c r="O26" s="2"/>
      <c r="P26" s="2"/>
      <c r="Q26" s="2"/>
      <c r="R26" s="2"/>
      <c r="S26" s="2"/>
      <c r="T26" s="2"/>
      <c r="U26" s="2"/>
      <c r="V26" s="2"/>
      <c r="W26" s="2"/>
      <c r="X26" s="2"/>
      <c r="Y26" s="2"/>
      <c r="Z26" s="2"/>
    </row>
    <row r="27" spans="1:26" ht="15.75" customHeight="1">
      <c r="A27" s="86" t="s">
        <v>194</v>
      </c>
      <c r="B27" s="72"/>
      <c r="C27" s="45">
        <v>4</v>
      </c>
      <c r="D27" s="45">
        <v>1</v>
      </c>
      <c r="E27" s="2"/>
      <c r="F27" s="2"/>
      <c r="G27" s="2"/>
      <c r="H27" s="2"/>
      <c r="I27" s="2"/>
      <c r="J27" s="2"/>
      <c r="K27" s="2"/>
      <c r="L27" s="2"/>
      <c r="M27" s="2"/>
      <c r="N27" s="2"/>
      <c r="O27" s="2"/>
      <c r="P27" s="2"/>
      <c r="Q27" s="2"/>
      <c r="R27" s="2"/>
      <c r="S27" s="2"/>
      <c r="T27" s="2"/>
      <c r="U27" s="2"/>
      <c r="V27" s="2"/>
      <c r="W27" s="2"/>
      <c r="X27" s="2"/>
      <c r="Y27" s="2"/>
      <c r="Z27" s="2"/>
    </row>
    <row r="28" spans="1:26" ht="15.75" customHeight="1">
      <c r="A28" s="86" t="s">
        <v>195</v>
      </c>
      <c r="B28" s="72"/>
      <c r="C28" s="39">
        <f t="shared" ref="C28:D28" si="1">C27/5</f>
        <v>0.8</v>
      </c>
      <c r="D28" s="39">
        <f t="shared" si="1"/>
        <v>0.2</v>
      </c>
      <c r="E28" s="2"/>
      <c r="F28" s="2"/>
      <c r="G28" s="2"/>
      <c r="H28" s="2"/>
      <c r="I28" s="2"/>
      <c r="J28" s="2"/>
      <c r="K28" s="2"/>
      <c r="L28" s="2"/>
      <c r="M28" s="2"/>
      <c r="N28" s="2"/>
      <c r="O28" s="2"/>
      <c r="P28" s="2"/>
      <c r="Q28" s="2"/>
      <c r="R28" s="2"/>
      <c r="S28" s="2"/>
      <c r="T28" s="2"/>
      <c r="U28" s="2"/>
      <c r="V28" s="2"/>
      <c r="W28" s="2"/>
      <c r="X28" s="2"/>
      <c r="Y28" s="2"/>
      <c r="Z28" s="2"/>
    </row>
    <row r="29" spans="1:26" ht="14.25" customHeight="1">
      <c r="A29" s="40"/>
      <c r="B29" s="40"/>
      <c r="C29" s="41"/>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88" t="s">
        <v>202</v>
      </c>
      <c r="B30" s="71"/>
      <c r="C30" s="71"/>
      <c r="D30" s="72"/>
      <c r="E30" s="2"/>
      <c r="F30" s="2"/>
      <c r="G30" s="2"/>
      <c r="H30" s="2"/>
      <c r="I30" s="2"/>
      <c r="J30" s="2"/>
      <c r="K30" s="2"/>
      <c r="L30" s="2"/>
      <c r="M30" s="2"/>
      <c r="N30" s="2"/>
      <c r="O30" s="2"/>
      <c r="P30" s="2"/>
      <c r="Q30" s="2"/>
      <c r="R30" s="2"/>
      <c r="S30" s="2"/>
      <c r="T30" s="2"/>
      <c r="U30" s="2"/>
      <c r="V30" s="2"/>
      <c r="W30" s="2"/>
      <c r="X30" s="2"/>
      <c r="Y30" s="2"/>
      <c r="Z30" s="2"/>
    </row>
    <row r="31" spans="1:26" ht="15.75" customHeight="1">
      <c r="A31" s="42" t="s">
        <v>180</v>
      </c>
      <c r="B31" s="42" t="s">
        <v>181</v>
      </c>
      <c r="C31" s="43" t="s">
        <v>182</v>
      </c>
      <c r="D31" s="43" t="s">
        <v>183</v>
      </c>
      <c r="E31" s="2"/>
      <c r="F31" s="2"/>
      <c r="G31" s="2"/>
      <c r="H31" s="2"/>
      <c r="I31" s="2"/>
      <c r="J31" s="2"/>
      <c r="K31" s="2"/>
      <c r="L31" s="2"/>
      <c r="M31" s="2"/>
      <c r="N31" s="2"/>
      <c r="O31" s="2"/>
      <c r="P31" s="2"/>
      <c r="Q31" s="2"/>
      <c r="R31" s="2"/>
      <c r="S31" s="2"/>
      <c r="T31" s="2"/>
      <c r="U31" s="2"/>
      <c r="V31" s="2"/>
      <c r="W31" s="2"/>
      <c r="X31" s="2"/>
      <c r="Y31" s="2"/>
      <c r="Z31" s="2"/>
    </row>
    <row r="32" spans="1:26" ht="15.75" customHeight="1">
      <c r="A32" s="34">
        <v>1</v>
      </c>
      <c r="B32" s="35" t="s">
        <v>203</v>
      </c>
      <c r="C32" s="34" t="s">
        <v>185</v>
      </c>
      <c r="D32" s="34"/>
      <c r="E32" s="2"/>
      <c r="F32" s="2"/>
      <c r="G32" s="2"/>
      <c r="H32" s="2"/>
      <c r="I32" s="2"/>
      <c r="J32" s="2"/>
      <c r="K32" s="2"/>
      <c r="L32" s="2"/>
      <c r="M32" s="2"/>
      <c r="N32" s="2"/>
      <c r="O32" s="2"/>
      <c r="P32" s="2"/>
      <c r="Q32" s="2"/>
      <c r="R32" s="2"/>
      <c r="S32" s="2"/>
      <c r="T32" s="2"/>
      <c r="U32" s="2"/>
      <c r="V32" s="2"/>
      <c r="W32" s="2"/>
      <c r="X32" s="2"/>
      <c r="Y32" s="2"/>
      <c r="Z32" s="2"/>
    </row>
    <row r="33" spans="1:26" ht="15.75" customHeight="1">
      <c r="A33" s="34">
        <v>2</v>
      </c>
      <c r="B33" s="35" t="s">
        <v>204</v>
      </c>
      <c r="C33" s="34" t="s">
        <v>185</v>
      </c>
      <c r="D33" s="34"/>
      <c r="E33" s="2"/>
      <c r="F33" s="2"/>
      <c r="G33" s="2"/>
      <c r="H33" s="2"/>
      <c r="I33" s="2"/>
      <c r="J33" s="2"/>
      <c r="K33" s="2"/>
      <c r="L33" s="2"/>
      <c r="M33" s="2"/>
      <c r="N33" s="2"/>
      <c r="O33" s="2"/>
      <c r="P33" s="2"/>
      <c r="Q33" s="2"/>
      <c r="R33" s="2"/>
      <c r="S33" s="2"/>
      <c r="T33" s="2"/>
      <c r="U33" s="2"/>
      <c r="V33" s="2"/>
      <c r="W33" s="2"/>
      <c r="X33" s="2"/>
      <c r="Y33" s="2"/>
      <c r="Z33" s="2"/>
    </row>
    <row r="34" spans="1:26" ht="15.75" customHeight="1">
      <c r="A34" s="34">
        <v>3</v>
      </c>
      <c r="B34" s="35" t="s">
        <v>205</v>
      </c>
      <c r="C34" s="34"/>
      <c r="D34" s="36" t="s">
        <v>185</v>
      </c>
      <c r="E34" s="2"/>
      <c r="F34" s="2"/>
      <c r="G34" s="2"/>
      <c r="H34" s="2"/>
      <c r="I34" s="2"/>
      <c r="J34" s="2"/>
      <c r="K34" s="2"/>
      <c r="L34" s="2"/>
      <c r="M34" s="2"/>
      <c r="N34" s="2"/>
      <c r="O34" s="2"/>
      <c r="P34" s="2"/>
      <c r="Q34" s="2"/>
      <c r="R34" s="2"/>
      <c r="S34" s="2"/>
      <c r="T34" s="2"/>
      <c r="U34" s="2"/>
      <c r="V34" s="2"/>
      <c r="W34" s="2"/>
      <c r="X34" s="2"/>
      <c r="Y34" s="2"/>
      <c r="Z34" s="2"/>
    </row>
    <row r="35" spans="1:26" ht="15.75" customHeight="1">
      <c r="A35" s="86" t="s">
        <v>194</v>
      </c>
      <c r="B35" s="72"/>
      <c r="C35" s="45">
        <v>2</v>
      </c>
      <c r="D35" s="45">
        <v>1</v>
      </c>
      <c r="E35" s="2"/>
      <c r="F35" s="2"/>
      <c r="G35" s="2"/>
      <c r="H35" s="2"/>
      <c r="I35" s="2"/>
      <c r="J35" s="2"/>
      <c r="K35" s="2"/>
      <c r="L35" s="2"/>
      <c r="M35" s="2"/>
      <c r="N35" s="2"/>
      <c r="O35" s="2"/>
      <c r="P35" s="2"/>
      <c r="Q35" s="2"/>
      <c r="R35" s="2"/>
      <c r="S35" s="2"/>
      <c r="T35" s="2"/>
      <c r="U35" s="2"/>
      <c r="V35" s="2"/>
      <c r="W35" s="2"/>
      <c r="X35" s="2"/>
      <c r="Y35" s="2"/>
      <c r="Z35" s="2"/>
    </row>
    <row r="36" spans="1:26" ht="15.75" customHeight="1">
      <c r="A36" s="86" t="s">
        <v>195</v>
      </c>
      <c r="B36" s="72"/>
      <c r="C36" s="39">
        <f t="shared" ref="C36:D36" si="2">C35/3</f>
        <v>0.66666666666666663</v>
      </c>
      <c r="D36" s="39">
        <f t="shared" si="2"/>
        <v>0.33333333333333331</v>
      </c>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87" t="s">
        <v>206</v>
      </c>
      <c r="C40" s="72"/>
      <c r="D40" s="48"/>
      <c r="E40" s="2"/>
      <c r="F40" s="2"/>
      <c r="G40" s="2"/>
      <c r="H40" s="2"/>
      <c r="I40" s="2"/>
      <c r="J40" s="2"/>
      <c r="K40" s="2"/>
      <c r="L40" s="2"/>
      <c r="M40" s="2"/>
      <c r="N40" s="2"/>
      <c r="O40" s="2"/>
      <c r="P40" s="2"/>
      <c r="Q40" s="2"/>
      <c r="R40" s="2"/>
      <c r="S40" s="2"/>
      <c r="T40" s="2"/>
      <c r="U40" s="2"/>
      <c r="V40" s="2"/>
      <c r="W40" s="2"/>
      <c r="X40" s="2"/>
      <c r="Y40" s="2"/>
      <c r="Z40" s="2"/>
    </row>
    <row r="41" spans="1:26" ht="30" customHeight="1">
      <c r="A41" s="2"/>
      <c r="B41" s="44" t="s">
        <v>207</v>
      </c>
      <c r="C41" s="45">
        <v>56</v>
      </c>
      <c r="D41" s="2"/>
      <c r="E41" s="2"/>
      <c r="F41" s="2"/>
      <c r="G41" s="2"/>
      <c r="H41" s="2"/>
      <c r="I41" s="2"/>
      <c r="J41" s="2"/>
      <c r="K41" s="2"/>
      <c r="L41" s="2"/>
      <c r="M41" s="2"/>
      <c r="N41" s="2"/>
      <c r="O41" s="2"/>
      <c r="P41" s="2"/>
      <c r="Q41" s="2"/>
      <c r="R41" s="2"/>
      <c r="S41" s="2"/>
      <c r="T41" s="2"/>
      <c r="U41" s="2"/>
      <c r="V41" s="2"/>
      <c r="W41" s="2"/>
      <c r="X41" s="2"/>
      <c r="Y41" s="2"/>
      <c r="Z41" s="2"/>
    </row>
    <row r="42" spans="1:26" ht="30" customHeight="1">
      <c r="A42" s="2"/>
      <c r="B42" s="44" t="s">
        <v>196</v>
      </c>
      <c r="C42" s="45">
        <v>80</v>
      </c>
      <c r="D42" s="2"/>
      <c r="E42" s="2"/>
      <c r="F42" s="2"/>
      <c r="G42" s="2"/>
      <c r="H42" s="2"/>
      <c r="I42" s="2"/>
      <c r="J42" s="2"/>
      <c r="K42" s="2"/>
      <c r="L42" s="2"/>
      <c r="M42" s="2"/>
      <c r="N42" s="2"/>
      <c r="O42" s="2"/>
      <c r="P42" s="2"/>
      <c r="Q42" s="2"/>
      <c r="R42" s="2"/>
      <c r="S42" s="2"/>
      <c r="T42" s="2"/>
      <c r="U42" s="2"/>
      <c r="V42" s="2"/>
      <c r="W42" s="2"/>
      <c r="X42" s="2"/>
      <c r="Y42" s="2"/>
      <c r="Z42" s="2"/>
    </row>
    <row r="43" spans="1:26" ht="30" customHeight="1">
      <c r="A43" s="2"/>
      <c r="B43" s="44" t="s">
        <v>202</v>
      </c>
      <c r="C43" s="45">
        <v>67</v>
      </c>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7" priority="1" operator="containsText" text="X">
      <formula>NOT(ISERROR(SEARCH(("X"),(A32))))</formula>
    </cfRule>
  </conditionalFormatting>
  <conditionalFormatting sqref="C8:D16 H8:I16 M8:N16 C22:C26 H22:H26 M22:M26 C32:D34 H32:I34 M32:N34">
    <cfRule type="containsText" dxfId="6" priority="2" operator="containsText" text="X">
      <formula>NOT(ISERROR(SEARCH(("X"),(C8))))</formula>
    </cfRule>
  </conditionalFormatting>
  <conditionalFormatting sqref="C8:D16 H8:I16 M8:N16 C22:C26 H22:H26 M22:M26 C32:D34 H32:I34 M32:N34">
    <cfRule type="containsText" dxfId="5" priority="3" operator="containsText" text="X">
      <formula>NOT(ISERROR(SEARCH(("X"),(C8))))</formula>
    </cfRule>
  </conditionalFormatting>
  <conditionalFormatting sqref="C8:D16 H8:I16 M8:N16 C22:C26 H22:H26 M22:M26 C32:D34 H32:I34 M32:N34">
    <cfRule type="containsText" dxfId="4" priority="4" operator="containsText" text="X">
      <formula>NOT(ISERROR(SEARCH(("X"),(C8))))</formula>
    </cfRule>
  </conditionalFormatting>
  <conditionalFormatting sqref="C22:D26 H22:I26 M22:N26">
    <cfRule type="containsText" dxfId="3" priority="5" operator="containsText" text="X">
      <formula>NOT(ISERROR(SEARCH(("X"),(C22))))</formula>
    </cfRule>
  </conditionalFormatting>
  <conditionalFormatting sqref="C22:D26 H22:I26 M22:N26">
    <cfRule type="containsText" dxfId="2" priority="6" operator="containsText" text="X">
      <formula>NOT(ISERROR(SEARCH(("X"),(C22))))</formula>
    </cfRule>
  </conditionalFormatting>
  <conditionalFormatting sqref="C8:D16 H8:I16 M8:N16 C22:C26 H22:H26 M22:M26 C32:D34 H32:I34 M32:N34">
    <cfRule type="containsText" dxfId="1" priority="7" operator="containsText" text="X">
      <formula>NOT(ISERROR(SEARCH(("X"),(C8))))</formula>
    </cfRule>
  </conditionalFormatting>
  <conditionalFormatting sqref="C32:D34 H32:I34 M32:N34">
    <cfRule type="containsText" dxfId="0"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5"/>
  <sheetViews>
    <sheetView topLeftCell="A43" workbookViewId="0"/>
  </sheetViews>
  <sheetFormatPr baseColWidth="10" defaultColWidth="14.44140625" defaultRowHeight="15" customHeight="1"/>
  <cols>
    <col min="1" max="1" width="53.109375" customWidth="1"/>
    <col min="2" max="2" width="57.33203125" customWidth="1"/>
    <col min="3" max="3" width="9.109375" customWidth="1"/>
    <col min="4" max="4" width="6.6640625" customWidth="1"/>
    <col min="5" max="5" width="7.109375" customWidth="1"/>
    <col min="6" max="6" width="7.33203125" customWidth="1"/>
    <col min="7" max="7" width="7.109375" customWidth="1"/>
  </cols>
  <sheetData>
    <row r="1" spans="1:7" ht="14.25" customHeight="1">
      <c r="B1" s="49"/>
      <c r="C1" s="2"/>
      <c r="D1" s="2"/>
      <c r="E1" s="2"/>
      <c r="F1" s="2"/>
      <c r="G1" s="2"/>
    </row>
    <row r="2" spans="1:7" ht="14.25" customHeight="1">
      <c r="A2" s="89" t="s">
        <v>7</v>
      </c>
      <c r="B2" s="72"/>
      <c r="C2" s="2"/>
      <c r="D2" s="2"/>
      <c r="E2" s="2"/>
      <c r="F2" s="2"/>
      <c r="G2" s="2"/>
    </row>
    <row r="3" spans="1:7" ht="15.6">
      <c r="A3" s="50" t="s">
        <v>214</v>
      </c>
      <c r="B3" s="50" t="s">
        <v>215</v>
      </c>
      <c r="C3" s="2"/>
      <c r="D3" s="2"/>
      <c r="E3" s="2"/>
      <c r="F3" s="2"/>
      <c r="G3" s="2"/>
    </row>
    <row r="4" spans="1:7" ht="93.6">
      <c r="A4" s="51" t="s">
        <v>216</v>
      </c>
      <c r="B4" s="51" t="s">
        <v>217</v>
      </c>
      <c r="C4" s="2"/>
      <c r="D4" s="2"/>
      <c r="E4" s="2"/>
      <c r="F4" s="2"/>
      <c r="G4" s="2"/>
    </row>
    <row r="5" spans="1:7" ht="14.25" customHeight="1">
      <c r="A5" s="52"/>
      <c r="B5" s="52"/>
      <c r="C5" s="2"/>
      <c r="D5" s="2"/>
      <c r="E5" s="2"/>
      <c r="F5" s="2"/>
      <c r="G5" s="2"/>
    </row>
    <row r="6" spans="1:7" ht="15.6">
      <c r="A6" s="89" t="s">
        <v>8</v>
      </c>
      <c r="B6" s="72"/>
      <c r="C6" s="2"/>
      <c r="D6" s="2"/>
      <c r="E6" s="2"/>
      <c r="F6" s="2"/>
      <c r="G6" s="2"/>
    </row>
    <row r="7" spans="1:7" ht="15.6">
      <c r="A7" s="50" t="s">
        <v>214</v>
      </c>
      <c r="B7" s="50" t="s">
        <v>215</v>
      </c>
      <c r="C7" s="2"/>
      <c r="D7" s="2"/>
      <c r="E7" s="2"/>
      <c r="F7" s="2"/>
      <c r="G7" s="2"/>
    </row>
    <row r="8" spans="1:7" ht="62.4">
      <c r="A8" s="51" t="s">
        <v>218</v>
      </c>
      <c r="B8" s="51" t="s">
        <v>219</v>
      </c>
      <c r="C8" s="2"/>
      <c r="D8" s="2"/>
      <c r="E8" s="2"/>
      <c r="F8" s="2"/>
      <c r="G8" s="2"/>
    </row>
    <row r="9" spans="1:7" ht="14.4">
      <c r="A9" s="53"/>
      <c r="B9" s="53"/>
      <c r="C9" s="2"/>
      <c r="D9" s="2"/>
      <c r="E9" s="2"/>
      <c r="F9" s="2"/>
      <c r="G9" s="2"/>
    </row>
    <row r="10" spans="1:7" ht="15.6">
      <c r="A10" s="89" t="s">
        <v>9</v>
      </c>
      <c r="B10" s="72"/>
      <c r="C10" s="2"/>
      <c r="D10" s="2"/>
      <c r="E10" s="2"/>
    </row>
    <row r="11" spans="1:7" ht="15.6">
      <c r="A11" s="54" t="s">
        <v>214</v>
      </c>
      <c r="B11" s="50" t="s">
        <v>215</v>
      </c>
      <c r="C11" s="2"/>
      <c r="D11" s="2"/>
      <c r="E11" s="2"/>
    </row>
    <row r="12" spans="1:7" ht="46.8">
      <c r="A12" s="51" t="s">
        <v>220</v>
      </c>
      <c r="B12" s="51" t="s">
        <v>221</v>
      </c>
      <c r="C12" s="2"/>
      <c r="D12" s="2"/>
      <c r="E12" s="2"/>
      <c r="F12" s="2"/>
      <c r="G12" s="2"/>
    </row>
    <row r="13" spans="1:7" ht="46.8">
      <c r="A13" s="51" t="s">
        <v>222</v>
      </c>
      <c r="B13" s="51" t="s">
        <v>223</v>
      </c>
      <c r="C13" s="2"/>
      <c r="D13" s="2"/>
      <c r="E13" s="2"/>
      <c r="F13" s="2"/>
      <c r="G13" s="2"/>
    </row>
    <row r="14" spans="1:7" ht="46.8">
      <c r="A14" s="51" t="s">
        <v>224</v>
      </c>
      <c r="B14" s="51" t="s">
        <v>225</v>
      </c>
      <c r="C14" s="2"/>
      <c r="D14" s="2"/>
      <c r="E14" s="2"/>
      <c r="F14" s="2"/>
      <c r="G14" s="2"/>
    </row>
    <row r="15" spans="1:7" ht="14.4">
      <c r="A15" s="53"/>
      <c r="B15" s="53"/>
      <c r="C15" s="2"/>
      <c r="D15" s="2"/>
      <c r="E15" s="2"/>
      <c r="F15" s="2"/>
      <c r="G15" s="2"/>
    </row>
    <row r="16" spans="1:7" ht="15.6">
      <c r="A16" s="89" t="s">
        <v>208</v>
      </c>
      <c r="B16" s="72"/>
      <c r="C16" s="2"/>
      <c r="D16" s="2"/>
      <c r="E16" s="2"/>
      <c r="F16" s="2"/>
      <c r="G16" s="2"/>
    </row>
    <row r="17" spans="1:7" ht="48.75" customHeight="1">
      <c r="A17" s="50" t="s">
        <v>214</v>
      </c>
      <c r="B17" s="50" t="s">
        <v>215</v>
      </c>
      <c r="C17" s="2"/>
      <c r="D17" s="2"/>
      <c r="E17" s="2"/>
      <c r="F17" s="2"/>
      <c r="G17" s="2"/>
    </row>
    <row r="18" spans="1:7" ht="48.75" customHeight="1">
      <c r="A18" s="51" t="s">
        <v>226</v>
      </c>
      <c r="B18" s="51" t="s">
        <v>227</v>
      </c>
      <c r="C18" s="2"/>
      <c r="D18" s="2"/>
      <c r="E18" s="2"/>
      <c r="F18" s="2"/>
      <c r="G18" s="2"/>
    </row>
    <row r="19" spans="1:7" ht="48.75" customHeight="1">
      <c r="A19" s="51" t="s">
        <v>228</v>
      </c>
      <c r="B19" s="51" t="s">
        <v>229</v>
      </c>
      <c r="C19" s="2"/>
      <c r="D19" s="2"/>
      <c r="E19" s="2"/>
      <c r="F19" s="2"/>
      <c r="G19" s="2"/>
    </row>
    <row r="20" spans="1:7" ht="46.8">
      <c r="A20" s="51" t="s">
        <v>230</v>
      </c>
      <c r="B20" s="51" t="s">
        <v>231</v>
      </c>
      <c r="C20" s="2"/>
      <c r="D20" s="2"/>
      <c r="E20" s="2"/>
      <c r="F20" s="2"/>
      <c r="G20" s="2"/>
    </row>
    <row r="21" spans="1:7" ht="14.25" customHeight="1">
      <c r="A21" s="52"/>
      <c r="B21" s="52"/>
      <c r="C21" s="2"/>
      <c r="D21" s="2"/>
      <c r="E21" s="2"/>
      <c r="F21" s="2"/>
      <c r="G21" s="2"/>
    </row>
    <row r="22" spans="1:7" ht="14.25" customHeight="1">
      <c r="A22" s="89" t="s">
        <v>210</v>
      </c>
      <c r="B22" s="72"/>
      <c r="C22" s="2"/>
      <c r="D22" s="2"/>
      <c r="E22" s="2"/>
      <c r="F22" s="2"/>
      <c r="G22" s="2"/>
    </row>
    <row r="23" spans="1:7" ht="14.25" customHeight="1">
      <c r="A23" s="50" t="s">
        <v>214</v>
      </c>
      <c r="B23" s="50" t="s">
        <v>215</v>
      </c>
      <c r="C23" s="2"/>
      <c r="D23" s="2"/>
      <c r="E23" s="2"/>
      <c r="F23" s="2"/>
      <c r="G23" s="2"/>
    </row>
    <row r="24" spans="1:7" ht="31.2">
      <c r="A24" s="51" t="s">
        <v>232</v>
      </c>
      <c r="B24" s="51" t="s">
        <v>233</v>
      </c>
      <c r="C24" s="2"/>
      <c r="D24" s="2"/>
      <c r="E24" s="2"/>
      <c r="F24" s="2"/>
      <c r="G24" s="2"/>
    </row>
    <row r="25" spans="1:7" ht="51.75" customHeight="1">
      <c r="A25" s="51" t="s">
        <v>234</v>
      </c>
      <c r="B25" s="51" t="s">
        <v>235</v>
      </c>
      <c r="C25" s="2"/>
      <c r="D25" s="2"/>
      <c r="E25" s="2"/>
      <c r="F25" s="2"/>
      <c r="G25" s="2"/>
    </row>
    <row r="26" spans="1:7" ht="15.75" customHeight="1">
      <c r="A26" s="51" t="s">
        <v>236</v>
      </c>
      <c r="B26" s="51" t="s">
        <v>237</v>
      </c>
    </row>
    <row r="27" spans="1:7" ht="15.75" customHeight="1">
      <c r="A27" s="51" t="s">
        <v>238</v>
      </c>
      <c r="B27" s="51" t="s">
        <v>239</v>
      </c>
    </row>
    <row r="28" spans="1:7" ht="15.75" customHeight="1">
      <c r="A28" s="51" t="s">
        <v>232</v>
      </c>
      <c r="B28" s="51" t="s">
        <v>233</v>
      </c>
    </row>
    <row r="29" spans="1:7" ht="14.25" customHeight="1">
      <c r="A29" s="52"/>
      <c r="B29" s="52"/>
    </row>
    <row r="30" spans="1:7" ht="14.25" customHeight="1">
      <c r="A30" s="89" t="s">
        <v>211</v>
      </c>
      <c r="B30" s="72"/>
    </row>
    <row r="31" spans="1:7" ht="14.25" customHeight="1">
      <c r="A31" s="55" t="s">
        <v>214</v>
      </c>
      <c r="B31" s="55" t="s">
        <v>215</v>
      </c>
    </row>
    <row r="32" spans="1:7" ht="46.8">
      <c r="A32" s="51" t="s">
        <v>240</v>
      </c>
      <c r="B32" s="51" t="s">
        <v>241</v>
      </c>
    </row>
    <row r="33" spans="1:2" ht="60" customHeight="1">
      <c r="A33" s="51" t="s">
        <v>242</v>
      </c>
      <c r="B33" s="51" t="s">
        <v>243</v>
      </c>
    </row>
    <row r="34" spans="1:2" ht="60" customHeight="1">
      <c r="A34" s="51" t="s">
        <v>244</v>
      </c>
      <c r="B34" s="51" t="s">
        <v>245</v>
      </c>
    </row>
    <row r="35" spans="1:2" ht="60" customHeight="1">
      <c r="A35" s="51" t="s">
        <v>246</v>
      </c>
      <c r="B35" s="51" t="s">
        <v>247</v>
      </c>
    </row>
    <row r="36" spans="1:2" ht="60" customHeight="1">
      <c r="A36" s="51" t="s">
        <v>248</v>
      </c>
      <c r="B36" s="51" t="s">
        <v>249</v>
      </c>
    </row>
    <row r="37" spans="1:2" ht="60" customHeight="1">
      <c r="A37" s="51" t="s">
        <v>250</v>
      </c>
      <c r="B37" s="51" t="s">
        <v>251</v>
      </c>
    </row>
    <row r="38" spans="1:2" ht="15.75" customHeight="1">
      <c r="A38" s="53"/>
      <c r="B38" s="53"/>
    </row>
    <row r="39" spans="1:2" ht="14.25" customHeight="1">
      <c r="A39" s="90" t="s">
        <v>212</v>
      </c>
      <c r="B39" s="72"/>
    </row>
    <row r="40" spans="1:2" ht="14.25" customHeight="1">
      <c r="A40" s="56" t="s">
        <v>214</v>
      </c>
      <c r="B40" s="56" t="s">
        <v>215</v>
      </c>
    </row>
    <row r="41" spans="1:2" ht="46.8">
      <c r="A41" s="57" t="s">
        <v>240</v>
      </c>
      <c r="B41" s="57" t="s">
        <v>252</v>
      </c>
    </row>
    <row r="42" spans="1:2" ht="46.8">
      <c r="A42" s="57" t="s">
        <v>253</v>
      </c>
      <c r="B42" s="57" t="s">
        <v>254</v>
      </c>
    </row>
    <row r="43" spans="1:2" ht="46.8">
      <c r="A43" s="57" t="s">
        <v>255</v>
      </c>
      <c r="B43" s="57" t="s">
        <v>256</v>
      </c>
    </row>
    <row r="44" spans="1:2" ht="46.8">
      <c r="A44" s="57" t="s">
        <v>257</v>
      </c>
      <c r="B44" s="57" t="s">
        <v>258</v>
      </c>
    </row>
    <row r="45" spans="1:2" ht="46.8">
      <c r="A45" s="57" t="s">
        <v>259</v>
      </c>
      <c r="B45" s="57" t="s">
        <v>260</v>
      </c>
    </row>
    <row r="46" spans="1:2" ht="14.4">
      <c r="A46" s="53"/>
      <c r="B46" s="53"/>
    </row>
    <row r="47" spans="1:2" ht="18" customHeight="1">
      <c r="A47" s="90" t="s">
        <v>213</v>
      </c>
      <c r="B47" s="72"/>
    </row>
    <row r="48" spans="1:2" ht="15.6">
      <c r="A48" s="56" t="s">
        <v>214</v>
      </c>
      <c r="B48" s="56" t="s">
        <v>215</v>
      </c>
    </row>
    <row r="49" spans="1:2" ht="46.8">
      <c r="A49" s="57" t="s">
        <v>240</v>
      </c>
      <c r="B49" s="57" t="s">
        <v>261</v>
      </c>
    </row>
    <row r="50" spans="1:2" ht="62.4">
      <c r="A50" s="57" t="s">
        <v>262</v>
      </c>
      <c r="B50" s="57" t="s">
        <v>263</v>
      </c>
    </row>
    <row r="51" spans="1:2" ht="62.4">
      <c r="A51" s="57" t="s">
        <v>264</v>
      </c>
      <c r="B51" s="57" t="s">
        <v>265</v>
      </c>
    </row>
    <row r="58" spans="1:2" ht="14.25" customHeight="1"/>
    <row r="59" spans="1:2" ht="14.25" customHeight="1"/>
    <row r="60" spans="1:2" ht="14.25" customHeight="1"/>
    <row r="61" spans="1:2" ht="14.25" customHeight="1"/>
    <row r="62" spans="1:2" ht="14.25" customHeight="1"/>
    <row r="63" spans="1:2" ht="14.25" customHeight="1"/>
    <row r="64" spans="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8">
    <mergeCell ref="A30:B30"/>
    <mergeCell ref="A39:B39"/>
    <mergeCell ref="A47:B47"/>
    <mergeCell ref="A2:B2"/>
    <mergeCell ref="A6:B6"/>
    <mergeCell ref="A10:B10"/>
    <mergeCell ref="A16:B16"/>
    <mergeCell ref="A22:B2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Matriz Ckeck LIst</vt:lpstr>
      <vt:lpstr>Matriz Ckeck LIst CU Finales</vt:lpstr>
      <vt:lpstr>MODELO LISTA DE COMPROBACION 1</vt:lpstr>
      <vt:lpstr>MODELO LISTA DE COMPROBACION 2</vt:lpstr>
      <vt:lpstr>MODELO LISTA DE COMPROBACION 3</vt:lpstr>
      <vt:lpstr>MODELO LISTA DE COMPROBACION 4</vt:lpstr>
      <vt:lpstr>MODELO LISTA DE COMPROBACION 5</vt:lpstr>
      <vt:lpstr>MODELO LISTA DE COMPROBACION 6</vt:lpstr>
      <vt:lpstr>MODELO LISTA DE COMPROBACION 7</vt:lpstr>
      <vt:lpstr>MODELO LISTA DE COMPROBACION 8</vt:lpstr>
      <vt:lpstr>RECOMENDACIONES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Domínguez</cp:lastModifiedBy>
  <dcterms:modified xsi:type="dcterms:W3CDTF">2026-06-08T21:12:08Z</dcterms:modified>
</cp:coreProperties>
</file>