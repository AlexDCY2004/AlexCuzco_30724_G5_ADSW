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Analisis\AlexCuzco_30724_G5_ADSW\Proyecto-Eventual\1. Elicitación\1.2 Matriz IREB\"/>
    </mc:Choice>
  </mc:AlternateContent>
  <xr:revisionPtr revIDLastSave="0" documentId="13_ncr:1_{A27F8476-ECDE-45B9-92E6-7D7E2F7B06FD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Matriz Ckeck LIst" sheetId="1" r:id="rId1"/>
    <sheet name="MODELO LISTA DE COMPROBACION 1" sheetId="2" r:id="rId2"/>
    <sheet name="MODELO LISTA DE COMPROBACION 2" sheetId="4" r:id="rId3"/>
    <sheet name="MODELO LISTA DE COMPROBACION 3" sheetId="3" r:id="rId4"/>
    <sheet name="MODELO LISTA DE COMPROBACION 4" sheetId="6" r:id="rId5"/>
    <sheet name="MODELO LISTA DE COMPROBACION 5" sheetId="7" r:id="rId6"/>
    <sheet name="RECOMENDACIONE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ALWYo6nnjX3wocvkjnVAoPC1UOI93Tq/33vQSAE/CZ4="/>
    </ext>
  </extLst>
</workbook>
</file>

<file path=xl/calcChain.xml><?xml version="1.0" encoding="utf-8"?>
<calcChain xmlns="http://schemas.openxmlformats.org/spreadsheetml/2006/main">
  <c r="D36" i="7" l="1"/>
  <c r="C36" i="7"/>
  <c r="D28" i="7"/>
  <c r="C28" i="7"/>
  <c r="D18" i="7"/>
  <c r="C18" i="7"/>
  <c r="D36" i="6"/>
  <c r="C36" i="6"/>
  <c r="D28" i="6"/>
  <c r="C28" i="6"/>
  <c r="D18" i="6"/>
  <c r="C18" i="6"/>
  <c r="D36" i="3"/>
  <c r="C27" i="2"/>
  <c r="C28" i="2" s="1"/>
  <c r="D36" i="4"/>
  <c r="C36" i="4"/>
  <c r="D28" i="4"/>
  <c r="C28" i="4"/>
  <c r="D17" i="4"/>
  <c r="D18" i="4" s="1"/>
  <c r="C17" i="4"/>
  <c r="C18" i="4" s="1"/>
  <c r="C36" i="3"/>
  <c r="D28" i="3"/>
  <c r="C28" i="3"/>
  <c r="D18" i="3"/>
  <c r="C18" i="3"/>
  <c r="D35" i="2"/>
  <c r="D36" i="2" s="1"/>
  <c r="C35" i="2"/>
  <c r="C36" i="2" s="1"/>
  <c r="D27" i="2"/>
  <c r="D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ID#AAAB5YuXW_0
ESPE    (2026-04-14 17:28:59)
COMPLETITUD DOCUMENTO</t>
        </r>
      </text>
    </comment>
    <comment ref="B9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ID#AAAB5ZYFUrI
ESPE    (2026-04-14 17:28:59)
COMPLETITUD REQUISITO INDIVIDUAL</t>
        </r>
      </text>
    </comment>
    <comment ref="B10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ID#AAAB5YuXXAM
ESPE    (2026-04-14 17:28:59)
TRAZABILIDAD</t>
        </r>
      </text>
    </comment>
    <comment ref="B1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ID#AAAB5YuXXAY
ESPE    (2026-04-14 17:28:59)
trazabilidad</t>
        </r>
      </text>
    </comment>
    <comment ref="B12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ID#AAAB5YuXW_4
ESPE    (2026-04-14 17:28:59)
TRAZABILIDAD</t>
        </r>
      </text>
    </comment>
    <comment ref="B13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ID#AAAB5YuXXAI
ESPE    (2026-04-14 17:28:59)
CORRECCION</t>
        </r>
      </text>
    </comment>
    <comment ref="B14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ID#AAAB5YuXW_o
ESPE    (2026-04-14 17:28:59)
CONSISTENCIA</t>
        </r>
      </text>
    </comment>
    <comment ref="B15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ID#AAAB5YuXW_k
ESPE    (2026-04-14 17:28:59)
NECESIDAD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ID#AAAB5YuXW_Y
ESPE    (2026-04-14 17:28:59)
verificable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eHQeQfmMzIotb4efntZFBPwwaxQ=="/>
    </ext>
  </extLst>
</comments>
</file>

<file path=xl/sharedStrings.xml><?xml version="1.0" encoding="utf-8"?>
<sst xmlns="http://schemas.openxmlformats.org/spreadsheetml/2006/main" count="500" uniqueCount="136">
  <si>
    <t>MATRIZ PARA COMPROBACIÓN REQUERIMIENTOS DE CALIDAD DE PROYECTO ACADEMICO</t>
  </si>
  <si>
    <t>SISTEMA:</t>
  </si>
  <si>
    <t xml:space="preserve">Sistema de planificación y seguimiento de eventos sociales y deportivos del Club de Suboficiales Retirados (EVENTUAL) </t>
  </si>
  <si>
    <t>Requerimientos  Funcionales</t>
  </si>
  <si>
    <t>Nº</t>
  </si>
  <si>
    <t>CRITERIOS DE CALIDAD (Documento/Requerimientos)</t>
  </si>
  <si>
    <t>Status
Nivel de Acuerdo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</si>
  <si>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</si>
  <si>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</si>
  <si>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</si>
  <si>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</si>
  <si>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</si>
  <si>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NOK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</si>
  <si>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</si>
  <si>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</si>
  <si>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</si>
  <si>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</si>
  <si>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</si>
  <si>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</si>
  <si>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</si>
  <si>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</si>
  <si>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</si>
  <si>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Realizable</t>
  </si>
  <si>
    <t>1. Funcionalidad tomada en cuenta dentro de la estimación del costo del proyecto ($1827)
2. No se ha desarrollado</t>
  </si>
  <si>
    <t>Traceable</t>
  </si>
  <si>
    <t>Complete</t>
  </si>
  <si>
    <t>Understandability</t>
  </si>
  <si>
    <t>1. Se involucra al cliente
2. Existe glosario de términos</t>
  </si>
  <si>
    <t>FECHA:</t>
  </si>
  <si>
    <t>AUTOR:</t>
  </si>
  <si>
    <t>Alex Cuzco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</si>
  <si>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</si>
  <si>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</si>
  <si>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</si>
  <si>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</si>
  <si>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</si>
  <si>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</si>
  <si>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</si>
  <si>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</si>
  <si>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</si>
  <si>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</si>
  <si>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</si>
  <si>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</si>
  <si>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</si>
  <si>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</si>
  <si>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</si>
  <si>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</si>
  <si>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</si>
  <si>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</si>
  <si>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</si>
  <si>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</si>
  <si>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</si>
  <si>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</si>
  <si>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</si>
  <si>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</si>
  <si>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</si>
  <si>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</si>
  <si>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</si>
  <si>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</si>
  <si>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</si>
  <si>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</si>
  <si>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Pablo Domínguez</t>
  </si>
  <si>
    <t>PREGUNTA</t>
  </si>
  <si>
    <t>RECOMENDACIÓN</t>
  </si>
  <si>
    <t>1. Está alineado con los objetivos del sistema. 2. Refleja lo que realmente necesita el cliente.</t>
  </si>
  <si>
    <t>1. Filtros por tipo de evento son testables.                                     2. Notificaciones en tiempos configurados son verificables.                                                                                           3. Mensaje de "no hay eventos" es comprobable.</t>
  </si>
  <si>
    <t>CU-005: Confirmar Asistencia al Evento</t>
  </si>
  <si>
    <t xml:space="preserve">
RF02 Gestionar Miembros
</t>
  </si>
  <si>
    <t>CU-001 Agregar Socio</t>
  </si>
  <si>
    <t>CU-003 Modificar socio</t>
  </si>
  <si>
    <t>CU-004 Desactivar socio</t>
  </si>
  <si>
    <t>1. El cumplimiento de este requisito puede ser verificado. Los pasos están bien definidos, y puedes probar el flujo del ingreso de los datos y ek estado del socio.</t>
  </si>
  <si>
    <t>1. No se refleja en claro las relaciones con lode demás requisitos q deben estar asociados</t>
  </si>
  <si>
    <t>CU-002 Asignar rol</t>
  </si>
  <si>
    <t>1. La prioridad esta declarada como "media", y al ser la asignación del rol, deberia estar como alta, pues al asignar el rol, se define los accesos del usuario.</t>
  </si>
  <si>
    <t>1. Tiene una redacción en un lenguje claro</t>
  </si>
  <si>
    <t xml:space="preserve">NOK </t>
  </si>
  <si>
    <t>1. No esta acoplado mucho a los objetivos del sistema, ya que al tener prioridad media, no estan dando la suficiente importancia a un dato escencial del sistema</t>
  </si>
  <si>
    <t>1.No aclara si un socio puede tener dos roles al mismo tiempo.</t>
  </si>
  <si>
    <t xml:space="preserve">
1. Falta el flujo de error si la cédula ya está registrada o es inválida </t>
  </si>
  <si>
    <t>Vinculado al requerimiento de control de acceso por niveles..</t>
  </si>
  <si>
    <t>Prioridad declarada como "Media", algo correcto ya que editar la información de un socio es algo ocasional.</t>
  </si>
  <si>
    <t>Describe la acción de actualizar datos existentes.</t>
  </si>
  <si>
    <t>1. La edición de perfiles es una función lógica en cualquier gestión.</t>
  </si>
  <si>
    <t>1. Mantiene la integridad con los datos creados en el CU-001..</t>
  </si>
  <si>
    <t>1. Basta con editar un campo y verificar que el cambio persista.</t>
  </si>
  <si>
    <t>Es una actualización (Update) básica en la base de datos.</t>
  </si>
  <si>
    <t>Se vincula a la gestión continua de la membresía del club.</t>
  </si>
  <si>
    <t>1. No define qué campos no se pueden editar (ej. la cédula.</t>
  </si>
  <si>
    <t>1. Define claramente que el socio queda "inactivo", no borrado.</t>
  </si>
  <si>
    <t>1. Es la forma moderna de manejar bajas en sistemas contables.</t>
  </si>
  <si>
    <t>El estado "inactivo" es coherente con el flujo descrito en comentarios (el presidente puede desactivar el socio</t>
  </si>
  <si>
    <t>1. Se verifica al intentar loguear a un usuario desactivado.</t>
  </si>
  <si>
    <t>2. Es un simple cambio de estado lógico (true/false) en la BD.</t>
  </si>
  <si>
    <t>1. No detalla qué pasa con sus deudas o asistencias pendienteso.</t>
  </si>
  <si>
    <t>No referencia los CU posteriores si es que el socio tiene eventos a cargo o no referencia q sucederá con ellos.</t>
  </si>
  <si>
    <t>1. Prioridad declarada como "Alta".</t>
  </si>
  <si>
    <t>1. Establece plazos (15 días) y uso de WhatsApp muy claros.</t>
  </si>
  <si>
    <t>Resuelve el problema actual de confirmaciones informales.</t>
  </si>
  <si>
    <t>1. La lógica de notificaciones automáticas es ideal para el club.</t>
  </si>
  <si>
    <t>1. Se alinea con los roles de Socio y Secretario.</t>
  </si>
  <si>
    <t>1. Se puede verificar el envío del mensaje y el registro final.</t>
  </si>
  <si>
    <t>Factible mediante APIs de mensajería y Flutter.</t>
  </si>
  <si>
    <t>1. Prioridad declarada como "Media", algo que estaria correcto debido a que la confirmación de la asistencia, da mayor fiabilidad de que sigan asistiendo a los próximos eventos.</t>
  </si>
  <si>
    <t>1. Ereferencia a los casos de uso y da las opciones correctas para afirmar o negar la asistencia, y permite realizar mejoras a futuro</t>
  </si>
  <si>
    <t>1. No define límites de cupo ni proceso de cancelación.</t>
  </si>
  <si>
    <t>CU-001 Agregar socio</t>
  </si>
  <si>
    <t>CU-003 Asignar rol</t>
  </si>
  <si>
    <t>CU-003: Modificar socio</t>
  </si>
  <si>
    <t>CU-004: Desactivar socio</t>
  </si>
  <si>
    <t>CU005: Confirmar asistencia al evento</t>
  </si>
  <si>
    <t>Dylan Alvarado</t>
  </si>
  <si>
    <t>¿Se han definido claramente las relaciones de este caso de uso con otros procesos del sistema, como asignar roles, modificar o desactivar socios?</t>
  </si>
  <si>
    <t>Es importante incorporar referencias explícitas a los casos de uso relacionados para asegurar una correcta trazabilidad y comprensión del flujo completo de gestión de miembros.</t>
  </si>
  <si>
    <t>¿El caso de uso contempla qué sucede cuando la cédula ingresada ya existe o posee un formato inválido?</t>
  </si>
  <si>
    <t>Debe añadirse un flujo alternativo que detalle las validaciones de cédula duplicada o incorrecta, incluyendo mensajes de error y acciones permitidas al usuario.</t>
  </si>
  <si>
    <t>CU-002 Asignar Rol</t>
  </si>
  <si>
    <t>¿La prioridad del caso de uso refleja realmente la importancia de la asignación de roles dentro del sistema?</t>
  </si>
  <si>
    <t>Se recomienda cambiar la prioridad de “Media” a “Alta”, ya que la asignación de roles controla los permisos y accesos de los usuarios dentro de la plataforma.</t>
  </si>
  <si>
    <t>¿La funcionalidad de asignar roles se encuentra completamente alineada con los objetivos principales del sistema y la gestión de accesos?</t>
  </si>
  <si>
    <t>Es importante reforzar la relación de este caso de uso con la seguridad y control de acceso del sistema, destacando su impacto dentro de la administración de usuarios.</t>
  </si>
  <si>
    <t>¿El caso de uso especifica claramente si un socio puede tener más de un rol asignado simultáneamente?</t>
  </si>
  <si>
    <t>Es necesario definir las reglas de negocio relacionadas con la asignación múltiple de roles, indicando restricciones, validaciones y posibles conflictos entre permisos.</t>
  </si>
  <si>
    <t>CU-003 Modificar Socio</t>
  </si>
  <si>
    <t>¿Se encuentran definidos los campos que no pueden ser modificados por motivos de seguridad o integridad?</t>
  </si>
  <si>
    <t>Es importante especificar qué datos son editables y cuáles deben permanecer bloqueados, como la cédula o identificadores únicos del socio.</t>
  </si>
  <si>
    <t>CU-004 Desactivar Socio</t>
  </si>
  <si>
    <t>¿El caso de uso refleja adecuadamente prácticas actuales para la gestión de bajas y estados inactivos dentro del sistema?</t>
  </si>
  <si>
    <t>Se recomienda actualizar y ampliar la descripción del proceso de desactivación para incluir escenarios modernos de gestión administrativa y control de usuarios inactivos.</t>
  </si>
  <si>
    <t>¿Se hace referencia a los casos de uso o procesos que podrían verse afectados por la desactivación de un socio?</t>
  </si>
  <si>
    <t>Es importante relacionar este caso de uso con otros procesos dependientes, como eventos organizados, asistencias registradas o actividades administrativas asociadas al socio.</t>
  </si>
  <si>
    <t>¿Se ha definido qué ocurrirá con las obligaciones pendientes del socio, como deudas, asistencias o eventos asociados?</t>
  </si>
  <si>
    <t>El caso de uso debe detallar cómo se manejarán las responsabilidades pendientes y los registros históricos antes de completar la desactivación del socio.</t>
  </si>
  <si>
    <t>CU-005 Confirmar Asistencia al Evento</t>
  </si>
  <si>
    <t>¿El caso de uso define claramente cómo se gestionarán los límites de cupo, cancelaciones y validaciones de asistencia?</t>
  </si>
  <si>
    <t>Se recomienda incluir reglas de negocio relacionadas con cupos máximos, listas de espera, cancelaciones y restricciones para asegurar un control adecuado de la asistencia a eventos.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</si>
</sst>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sz val="11"/>
      <name val="Calibri"/>
    </font>
    <font>
      <b/>
      <sz val="18"/>
      <color theme="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b/>
      <sz val="16"/>
      <color rgb="FFFFFFFF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rgb="FFFFFFFF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6"/>
      <color theme="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92D050"/>
      </patternFill>
    </fill>
    <fill>
      <patternFill patternType="solid">
        <fgColor rgb="FF92D050"/>
        <bgColor rgb="FFFF0000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7" fillId="0" borderId="6" xfId="0" applyFont="1" applyBorder="1"/>
    <xf numFmtId="0" fontId="8" fillId="3" borderId="8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7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7" fillId="0" borderId="0" xfId="0" applyFont="1" applyAlignment="1">
      <alignment vertical="top"/>
    </xf>
    <xf numFmtId="0" fontId="13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wrapText="1"/>
    </xf>
    <xf numFmtId="0" fontId="7" fillId="6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9" fontId="7" fillId="0" borderId="6" xfId="0" applyNumberFormat="1" applyFont="1" applyBorder="1"/>
    <xf numFmtId="0" fontId="12" fillId="0" borderId="0" xfId="0" applyFont="1" applyAlignment="1">
      <alignment horizontal="left" vertical="center"/>
    </xf>
    <xf numFmtId="9" fontId="7" fillId="0" borderId="0" xfId="0" applyNumberFormat="1" applyFont="1"/>
    <xf numFmtId="0" fontId="12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top"/>
    </xf>
    <xf numFmtId="0" fontId="7" fillId="0" borderId="6" xfId="0" applyFont="1" applyBorder="1" applyAlignment="1"/>
    <xf numFmtId="0" fontId="12" fillId="0" borderId="0" xfId="0" applyFont="1" applyAlignment="1">
      <alignment horizontal="center"/>
    </xf>
    <xf numFmtId="0" fontId="7" fillId="0" borderId="0" xfId="0" applyFont="1" applyAlignment="1"/>
    <xf numFmtId="0" fontId="0" fillId="0" borderId="0" xfId="0" applyFont="1" applyAlignment="1"/>
    <xf numFmtId="0" fontId="18" fillId="8" borderId="11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vertical="center" wrapText="1"/>
    </xf>
    <xf numFmtId="0" fontId="18" fillId="10" borderId="11" xfId="0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vertical="center" wrapText="1"/>
    </xf>
    <xf numFmtId="0" fontId="22" fillId="12" borderId="6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left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2" fillId="13" borderId="6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1" fillId="3" borderId="8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0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/>
    </xf>
    <xf numFmtId="0" fontId="3" fillId="0" borderId="5" xfId="0" applyFont="1" applyBorder="1"/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/>
    </xf>
    <xf numFmtId="0" fontId="23" fillId="0" borderId="3" xfId="0" applyFont="1" applyBorder="1" applyAlignment="1">
      <alignment horizontal="left" wrapText="1"/>
    </xf>
    <xf numFmtId="0" fontId="14" fillId="0" borderId="3" xfId="0" applyFont="1" applyBorder="1" applyAlignment="1">
      <alignment horizontal="center" vertical="center"/>
    </xf>
    <xf numFmtId="0" fontId="3" fillId="0" borderId="4" xfId="0" applyFont="1" applyBorder="1"/>
    <xf numFmtId="0" fontId="12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 wrapText="1"/>
    </xf>
    <xf numFmtId="15" fontId="13" fillId="0" borderId="3" xfId="0" applyNumberFormat="1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26" fillId="0" borderId="0" xfId="0" applyFont="1" applyAlignment="1"/>
    <xf numFmtId="0" fontId="25" fillId="0" borderId="14" xfId="0" applyFont="1" applyBorder="1" applyAlignment="1">
      <alignment horizontal="center" vertical="center" wrapText="1"/>
    </xf>
    <xf numFmtId="0" fontId="26" fillId="0" borderId="14" xfId="0" applyFont="1" applyBorder="1" applyAlignment="1">
      <alignment vertical="center" wrapText="1"/>
    </xf>
    <xf numFmtId="0" fontId="25" fillId="0" borderId="14" xfId="0" applyFont="1" applyBorder="1" applyAlignment="1">
      <alignment horizontal="center" vertical="center"/>
    </xf>
  </cellXfs>
  <cellStyles count="1">
    <cellStyle name="Normal" xfId="0" builtinId="0"/>
  </cellStyles>
  <dxfs count="67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CU-style" pivot="0" count="3" xr9:uid="{00000000-0011-0000-FFFF-FFFF00000000}">
      <tableStyleElement type="headerRow" dxfId="66"/>
      <tableStyleElement type="firstRowStripe" dxfId="65"/>
      <tableStyleElement type="secondRowStripe" dxfId="64"/>
    </tableStyle>
    <tableStyle name="MODELO LISTA DE COMPROBACION CU-style 2" pivot="0" count="3" xr9:uid="{00000000-0011-0000-FFFF-FFFF01000000}">
      <tableStyleElement type="headerRow" dxfId="63"/>
      <tableStyleElement type="firstRowStripe" dxfId="62"/>
      <tableStyleElement type="secondRowStripe" dxfId="61"/>
    </tableStyle>
    <tableStyle name="MODELO LISTA DE COMPROBACION CU-style 3" pivot="0" count="3" xr9:uid="{00000000-0011-0000-FFFF-FFFF02000000}">
      <tableStyleElement type="headerRow" dxfId="60"/>
      <tableStyleElement type="firstRowStripe" dxfId="59"/>
      <tableStyleElement type="secondRowStripe" dxfId="58"/>
    </tableStyle>
    <tableStyle name="Hoja 1-style" pivot="0" count="3" xr9:uid="{00000000-0011-0000-FFFF-FFFF03000000}">
      <tableStyleElement type="headerRow" dxfId="57"/>
      <tableStyleElement type="firstRowStripe" dxfId="56"/>
      <tableStyleElement type="secondRowStripe" dxfId="55"/>
    </tableStyle>
    <tableStyle name="Hoja 1-style 2" pivot="0" count="3" xr9:uid="{00000000-0011-0000-FFFF-FFFF04000000}">
      <tableStyleElement type="headerRow" dxfId="54"/>
      <tableStyleElement type="firstRowStripe" dxfId="53"/>
      <tableStyleElement type="secondRowStripe" dxfId="52"/>
    </tableStyle>
    <tableStyle name="Hoja 1-style 3" pivot="0" count="3" xr9:uid="{00000000-0011-0000-FFFF-FFFF05000000}">
      <tableStyleElement type="headerRow" dxfId="51"/>
      <tableStyleElement type="firstRowStripe" dxfId="50"/>
      <tableStyleElement type="secondRowStripe" dxfId="49"/>
    </tableStyle>
    <tableStyle name="Hoja 2-style" pivot="0" count="3" xr9:uid="{00000000-0011-0000-FFFF-FFFF06000000}">
      <tableStyleElement type="headerRow" dxfId="48"/>
      <tableStyleElement type="firstRowStripe" dxfId="47"/>
      <tableStyleElement type="secondRowStripe" dxfId="46"/>
    </tableStyle>
    <tableStyle name="Hoja 2-style 2" pivot="0" count="3" xr9:uid="{00000000-0011-0000-FFFF-FFFF07000000}">
      <tableStyleElement type="headerRow" dxfId="45"/>
      <tableStyleElement type="firstRowStripe" dxfId="44"/>
      <tableStyleElement type="secondRowStripe" dxfId="43"/>
    </tableStyle>
    <tableStyle name="Hoja 2-style 3" pivot="0" count="3" xr9:uid="{00000000-0011-0000-FFFF-FFFF08000000}">
      <tableStyleElement type="headerRow" dxfId="42"/>
      <tableStyleElement type="firstRowStripe" dxfId="41"/>
      <tableStyleElement type="secondRow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DEBF-4C72-89D5-9B4BF907EBA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DEBF-4C72-89D5-9B4BF907EBA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DEBF-4C72-89D5-9B4BF907EBA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1'!$B$41:$B$43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1'!$C$41:$C$43</c:f>
              <c:numCache>
                <c:formatCode>General</c:formatCode>
                <c:ptCount val="3"/>
                <c:pt idx="0">
                  <c:v>78</c:v>
                </c:pt>
                <c:pt idx="1">
                  <c:v>100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BF-4C72-89D5-9B4BF907E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s-EC" b="1">
                <a:solidFill>
                  <a:srgbClr val="757575"/>
                </a:solidFill>
                <a:latin typeface="+mn-lt"/>
              </a:rPr>
              <a:t>CRITERIO DE CALIDAD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'MODELO LISTA DE COMPROBACION 2'!$C$40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C82-47B6-AA21-E072A515BB4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C82-47B6-AA21-E072A515BB4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C82-47B6-AA21-E072A515BB4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2'!$C$41:$C$43</c:f>
              <c:numCache>
                <c:formatCode>General</c:formatCode>
                <c:ptCount val="3"/>
                <c:pt idx="0">
                  <c:v>89</c:v>
                </c:pt>
                <c:pt idx="1">
                  <c:v>80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2-47B6-AA21-E072A515B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4B55-465F-B864-1DF392118E1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4B55-465F-B864-1DF392118E1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4B55-465F-B864-1DF392118E1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3'!$B$41:$B$43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3'!$C$41:$C$43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55-465F-B864-1DF392118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2354-4E33-B591-64EAC14E855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2354-4E33-B591-64EAC14E855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2354-4E33-B591-64EAC14E855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4'!$B$41:$B$43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4'!$C$41:$C$43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54-4E33-B591-64EAC14E8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BE9-4338-A133-F6FB93766EA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BE9-4338-A133-F6FB93766EA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BE9-4338-A133-F6FB93766EA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5'!$B$41:$B$43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5'!$C$41:$C$43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E9-4338-A133-F6FB93766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43</xdr:row>
      <xdr:rowOff>133350</xdr:rowOff>
    </xdr:from>
    <xdr:ext cx="4286250" cy="2143125"/>
    <xdr:graphicFrame macro="">
      <xdr:nvGraphicFramePr>
        <xdr:cNvPr id="1650653329" name="Chart 1" title="Gráfico">
          <a:extLst>
            <a:ext uri="{FF2B5EF4-FFF2-40B4-BE49-F238E27FC236}">
              <a16:creationId xmlns:a16="http://schemas.microsoft.com/office/drawing/2014/main" id="{00000000-0008-0000-0100-000091F86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647700</xdr:colOff>
      <xdr:row>43</xdr:row>
      <xdr:rowOff>133350</xdr:rowOff>
    </xdr:from>
    <xdr:ext cx="4286250" cy="2143125"/>
    <xdr:pic>
      <xdr:nvPicPr>
        <xdr:cNvPr id="704550861" name="Chart2" title="Gráfico">
          <a:extLst>
            <a:ext uri="{FF2B5EF4-FFF2-40B4-BE49-F238E27FC236}">
              <a16:creationId xmlns:a16="http://schemas.microsoft.com/office/drawing/2014/main" id="{00000000-0008-0000-0100-0000CD97FE29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43</xdr:row>
      <xdr:rowOff>133350</xdr:rowOff>
    </xdr:from>
    <xdr:ext cx="4286250" cy="2143125"/>
    <xdr:pic>
      <xdr:nvPicPr>
        <xdr:cNvPr id="1013561517" name="Chart5" title="Gráfico">
          <a:extLst>
            <a:ext uri="{FF2B5EF4-FFF2-40B4-BE49-F238E27FC236}">
              <a16:creationId xmlns:a16="http://schemas.microsoft.com/office/drawing/2014/main" id="{00000000-0008-0000-0300-0000ADB8693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43</xdr:row>
      <xdr:rowOff>133350</xdr:rowOff>
    </xdr:from>
    <xdr:ext cx="4286250" cy="2143125"/>
    <xdr:pic>
      <xdr:nvPicPr>
        <xdr:cNvPr id="1395452967" name="Chart6" title="Gráfico">
          <a:extLst>
            <a:ext uri="{FF2B5EF4-FFF2-40B4-BE49-F238E27FC236}">
              <a16:creationId xmlns:a16="http://schemas.microsoft.com/office/drawing/2014/main" id="{00000000-0008-0000-0300-000027EC2C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43</xdr:row>
      <xdr:rowOff>133350</xdr:rowOff>
    </xdr:from>
    <xdr:ext cx="4286250" cy="2143125"/>
    <xdr:graphicFrame macro="">
      <xdr:nvGraphicFramePr>
        <xdr:cNvPr id="214191694" name="Chart 7" title="Gráfico">
          <a:extLst>
            <a:ext uri="{FF2B5EF4-FFF2-40B4-BE49-F238E27FC236}">
              <a16:creationId xmlns:a16="http://schemas.microsoft.com/office/drawing/2014/main" id="{00000000-0008-0000-0300-00004E4EC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43</xdr:row>
      <xdr:rowOff>133350</xdr:rowOff>
    </xdr:from>
    <xdr:ext cx="4286250" cy="2143125"/>
    <xdr:pic>
      <xdr:nvPicPr>
        <xdr:cNvPr id="643172238" name="Chart3" title="Gráfico">
          <a:extLst>
            <a:ext uri="{FF2B5EF4-FFF2-40B4-BE49-F238E27FC236}">
              <a16:creationId xmlns:a16="http://schemas.microsoft.com/office/drawing/2014/main" id="{00000000-0008-0000-0200-00008E07562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43</xdr:row>
      <xdr:rowOff>133350</xdr:rowOff>
    </xdr:from>
    <xdr:ext cx="4286250" cy="2143125"/>
    <xdr:graphicFrame macro="">
      <xdr:nvGraphicFramePr>
        <xdr:cNvPr id="867596106" name="Chart 4" title="Gráfico">
          <a:extLst>
            <a:ext uri="{FF2B5EF4-FFF2-40B4-BE49-F238E27FC236}">
              <a16:creationId xmlns:a16="http://schemas.microsoft.com/office/drawing/2014/main" id="{00000000-0008-0000-0200-00004A77B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43</xdr:row>
      <xdr:rowOff>133350</xdr:rowOff>
    </xdr:from>
    <xdr:ext cx="4286250" cy="2143125"/>
    <xdr:pic>
      <xdr:nvPicPr>
        <xdr:cNvPr id="2" name="Chart3" title="Gráfico">
          <a:extLst>
            <a:ext uri="{FF2B5EF4-FFF2-40B4-BE49-F238E27FC236}">
              <a16:creationId xmlns:a16="http://schemas.microsoft.com/office/drawing/2014/main" id="{EDC73616-A396-44EC-A686-85E331BF1DB0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3900150"/>
          <a:ext cx="4286250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43</xdr:row>
      <xdr:rowOff>133350</xdr:rowOff>
    </xdr:from>
    <xdr:ext cx="4286250" cy="2143125"/>
    <xdr:graphicFrame macro="">
      <xdr:nvGraphicFramePr>
        <xdr:cNvPr id="3" name="Chart 4" title="Gráfico">
          <a:extLst>
            <a:ext uri="{FF2B5EF4-FFF2-40B4-BE49-F238E27FC236}">
              <a16:creationId xmlns:a16="http://schemas.microsoft.com/office/drawing/2014/main" id="{A6312EBD-F988-448A-BF44-38B6B4CFD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43</xdr:row>
      <xdr:rowOff>133350</xdr:rowOff>
    </xdr:from>
    <xdr:ext cx="4286250" cy="2143125"/>
    <xdr:pic>
      <xdr:nvPicPr>
        <xdr:cNvPr id="2" name="Chart3" title="Gráfico">
          <a:extLst>
            <a:ext uri="{FF2B5EF4-FFF2-40B4-BE49-F238E27FC236}">
              <a16:creationId xmlns:a16="http://schemas.microsoft.com/office/drawing/2014/main" id="{3A7DABD4-EA14-4E08-9876-ACE22F514637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3900150"/>
          <a:ext cx="4286250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43</xdr:row>
      <xdr:rowOff>133350</xdr:rowOff>
    </xdr:from>
    <xdr:ext cx="4286250" cy="2143125"/>
    <xdr:graphicFrame macro="">
      <xdr:nvGraphicFramePr>
        <xdr:cNvPr id="3" name="Chart 4" title="Gráfico">
          <a:extLst>
            <a:ext uri="{FF2B5EF4-FFF2-40B4-BE49-F238E27FC236}">
              <a16:creationId xmlns:a16="http://schemas.microsoft.com/office/drawing/2014/main" id="{0E74B599-E849-43F0-9BE5-D47FF43AE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CU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CU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CU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Hoja 2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Hoja 2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Hoja 2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Hoja 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Hoja 1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Hoja 1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4FEC54-6008-400F-AAC7-7E4B7DE72EBE}" name="Table_411" displayName="Table_411" ref="A7:D16">
  <tableColumns count="4">
    <tableColumn id="1" xr3:uid="{769740FA-FCEE-4F13-A6E8-73CD47954452}" name="No."/>
    <tableColumn id="2" xr3:uid="{C7912397-59C9-4FE4-A6E1-6BC7CDB1EDB5}" name="Pregunta"/>
    <tableColumn id="3" xr3:uid="{4C4F8605-3D18-4EB6-8649-831E04262665}" name="SI"/>
    <tableColumn id="4" xr3:uid="{613442FC-8B4E-44DE-ABCA-86DC8F0F0764}" name="NO "/>
  </tableColumns>
  <tableStyleInfo name="Hoja 1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7CEC08-19BE-4CC6-BD95-7C3524933422}" name="Table_512" displayName="Table_512" ref="A21:D26">
  <tableColumns count="4">
    <tableColumn id="1" xr3:uid="{94CD09B0-8776-4E79-982B-85AD3AD1B367}" name="No."/>
    <tableColumn id="2" xr3:uid="{AC4F01E8-3838-4161-AC12-9610EA128B71}" name="Pregunta"/>
    <tableColumn id="3" xr3:uid="{1C48BC07-868B-4C38-9AD2-086825A456A3}" name="SI"/>
    <tableColumn id="4" xr3:uid="{F0950E79-29BD-47CD-BCB4-31B384E9488A}" name="NO "/>
  </tableColumns>
  <tableStyleInfo name="Hoja 1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AB80DF-E0E9-48FF-803C-CE605761126F}" name="Table_613" displayName="Table_613" ref="A31:D34">
  <tableColumns count="4">
    <tableColumn id="1" xr3:uid="{601FF48C-9B73-4CFF-BE60-01F2B5509785}" name="No."/>
    <tableColumn id="2" xr3:uid="{FF0A05D0-B43D-499A-B8A0-CB27C6D58B16}" name="Pregunta"/>
    <tableColumn id="3" xr3:uid="{1F767B78-AAED-4300-AAA2-B0B771B1FD82}" name="SI"/>
    <tableColumn id="4" xr3:uid="{D04D4FA1-789A-4FDD-8078-C8C32CFAAD0B}" name="NO "/>
  </tableColumns>
  <tableStyleInfo name="Hoja 1-style 3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86A2A6C-01E4-4865-9AFB-803E1DE75584}" name="Table_41114" displayName="Table_41114" ref="A7:D16">
  <tableColumns count="4">
    <tableColumn id="1" xr3:uid="{1D1D2B91-D57A-459B-8BDF-D80F39035130}" name="No."/>
    <tableColumn id="2" xr3:uid="{AE0C204D-55E2-40E8-902C-6BABEC9970A8}" name="Pregunta"/>
    <tableColumn id="3" xr3:uid="{F9FDA250-13AD-49B1-9081-DBB15A2AC1F0}" name="SI"/>
    <tableColumn id="4" xr3:uid="{BD93B355-2885-48A1-B671-E5BF524EEF26}" name="NO "/>
  </tableColumns>
  <tableStyleInfo name="Hoja 1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DBE95B-2A64-4AE6-B3D6-DA859E750D6D}" name="Table_51215" displayName="Table_51215" ref="A21:D26">
  <tableColumns count="4">
    <tableColumn id="1" xr3:uid="{9F1B11BC-0D0F-4763-8BA6-E2A4DA56A906}" name="No."/>
    <tableColumn id="2" xr3:uid="{9CBE67BE-CAF6-405F-B31F-CE920F4A739B}" name="Pregunta"/>
    <tableColumn id="3" xr3:uid="{F91A1A1B-0F56-4474-8B12-95ABA50DEEFC}" name="SI"/>
    <tableColumn id="4" xr3:uid="{6062A687-5CA9-414A-BE3D-011DC018CC50}" name="NO "/>
  </tableColumns>
  <tableStyleInfo name="Hoja 1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106B95F-1CB1-424B-B214-036C5BB9C1C6}" name="Table_61316" displayName="Table_61316" ref="A31:D34">
  <tableColumns count="4">
    <tableColumn id="1" xr3:uid="{23CFEFC9-6F63-49F7-B0B7-36AE845BF478}" name="No."/>
    <tableColumn id="2" xr3:uid="{966897FA-59B6-4FC6-9758-8ADBF75EC0EA}" name="Pregunta"/>
    <tableColumn id="3" xr3:uid="{06A5F8E2-A267-4B2C-94B4-6678E387F2D4}" name="SI"/>
    <tableColumn id="4" xr3:uid="{35357194-43F4-4BFB-9E37-9608F86DBC0C}" name="NO "/>
  </tableColumns>
  <tableStyleInfo name="Hoja 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Relationship Id="rId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1"/>
  <sheetViews>
    <sheetView showGridLines="0" topLeftCell="A5" zoomScale="51" zoomScaleNormal="44" workbookViewId="0">
      <selection activeCell="L6" sqref="L6"/>
    </sheetView>
  </sheetViews>
  <sheetFormatPr baseColWidth="10" defaultColWidth="14.44140625" defaultRowHeight="15" customHeight="1"/>
  <cols>
    <col min="1" max="1" width="4.5546875" customWidth="1"/>
    <col min="2" max="2" width="4.44140625" customWidth="1"/>
    <col min="3" max="3" width="3.77734375" customWidth="1"/>
    <col min="4" max="4" width="34.77734375" customWidth="1"/>
    <col min="5" max="5" width="9.77734375" customWidth="1"/>
    <col min="6" max="6" width="42.77734375" customWidth="1"/>
    <col min="7" max="7" width="9.77734375" customWidth="1"/>
    <col min="8" max="8" width="54" customWidth="1"/>
    <col min="10" max="10" width="41.109375" customWidth="1"/>
    <col min="12" max="12" width="45.5546875" customWidth="1"/>
    <col min="14" max="14" width="42.77734375" customWidth="1"/>
  </cols>
  <sheetData>
    <row r="1" spans="2:14" ht="14.25" customHeight="1">
      <c r="C1" s="1"/>
    </row>
    <row r="2" spans="2:14" ht="14.25" customHeight="1">
      <c r="C2" s="1"/>
    </row>
    <row r="3" spans="2:14" ht="30" customHeight="1">
      <c r="B3" s="51" t="s">
        <v>0</v>
      </c>
      <c r="C3" s="51"/>
      <c r="D3" s="51"/>
      <c r="E3" s="51"/>
      <c r="F3" s="51"/>
      <c r="G3" s="51"/>
      <c r="H3" s="51"/>
      <c r="I3" s="51"/>
      <c r="J3" s="51"/>
    </row>
    <row r="4" spans="2:14" ht="30" customHeight="1">
      <c r="B4" s="51"/>
      <c r="C4" s="51"/>
      <c r="D4" s="51"/>
      <c r="E4" s="51"/>
      <c r="F4" s="51"/>
      <c r="G4" s="51"/>
      <c r="H4" s="51"/>
      <c r="I4" s="51"/>
      <c r="J4" s="51"/>
    </row>
    <row r="5" spans="2:14" ht="51" customHeight="1">
      <c r="B5" s="55" t="s">
        <v>1</v>
      </c>
      <c r="C5" s="56"/>
      <c r="D5" s="56"/>
      <c r="E5" s="67" t="s">
        <v>2</v>
      </c>
      <c r="F5" s="67"/>
      <c r="G5" s="67"/>
      <c r="H5" s="67"/>
      <c r="I5" s="67"/>
      <c r="J5" s="67"/>
    </row>
    <row r="6" spans="2:14" ht="55.5" customHeight="1">
      <c r="B6" s="65" t="s">
        <v>3</v>
      </c>
      <c r="C6" s="65"/>
      <c r="D6" s="65"/>
      <c r="E6" s="65"/>
      <c r="F6" s="66"/>
      <c r="G6" s="66"/>
      <c r="H6" s="66"/>
      <c r="I6" s="66"/>
      <c r="J6" s="66"/>
    </row>
    <row r="7" spans="2:14" ht="45" customHeight="1">
      <c r="B7" s="57" t="s">
        <v>4</v>
      </c>
      <c r="C7" s="61" t="s">
        <v>5</v>
      </c>
      <c r="D7" s="62"/>
      <c r="E7" s="59" t="s">
        <v>6</v>
      </c>
      <c r="F7" s="54" t="s">
        <v>67</v>
      </c>
      <c r="G7" s="54"/>
      <c r="H7" s="54"/>
      <c r="I7" s="54"/>
      <c r="J7" s="54"/>
      <c r="K7" s="54"/>
      <c r="L7" s="54"/>
      <c r="M7" s="52" t="s">
        <v>6</v>
      </c>
      <c r="N7" s="53" t="s">
        <v>66</v>
      </c>
    </row>
    <row r="8" spans="2:14" ht="60" customHeight="1">
      <c r="B8" s="58"/>
      <c r="C8" s="63"/>
      <c r="D8" s="64"/>
      <c r="E8" s="60"/>
      <c r="F8" s="54"/>
      <c r="G8" s="54"/>
      <c r="H8" s="54"/>
      <c r="I8" s="54"/>
      <c r="J8" s="54"/>
      <c r="K8" s="54"/>
      <c r="L8" s="54"/>
      <c r="M8" s="52"/>
      <c r="N8" s="53"/>
    </row>
    <row r="9" spans="2:14" s="26" customFormat="1" ht="60" customHeight="1" thickBot="1">
      <c r="B9" s="32"/>
      <c r="C9" s="32"/>
      <c r="D9" s="33"/>
      <c r="E9" s="31"/>
      <c r="F9" s="42" t="s">
        <v>68</v>
      </c>
      <c r="G9" s="31"/>
      <c r="H9" s="43" t="s">
        <v>73</v>
      </c>
      <c r="I9" s="30"/>
      <c r="J9" s="41" t="s">
        <v>69</v>
      </c>
      <c r="K9" s="30"/>
      <c r="L9" s="41" t="s">
        <v>70</v>
      </c>
      <c r="M9" s="30"/>
      <c r="N9" s="41"/>
    </row>
    <row r="10" spans="2:14" ht="87.45" customHeight="1" thickBot="1">
      <c r="B10" s="3">
        <v>1</v>
      </c>
      <c r="C10" s="48" t="s">
        <v>7</v>
      </c>
      <c r="D10" s="49"/>
      <c r="E10" s="4" t="s">
        <v>8</v>
      </c>
      <c r="F10" s="5" t="s">
        <v>9</v>
      </c>
      <c r="G10" s="6" t="s">
        <v>8</v>
      </c>
      <c r="H10" s="5" t="s">
        <v>9</v>
      </c>
      <c r="I10" s="27" t="s">
        <v>8</v>
      </c>
      <c r="J10" s="28" t="s">
        <v>9</v>
      </c>
      <c r="K10" s="27" t="s">
        <v>8</v>
      </c>
      <c r="L10" s="28" t="s">
        <v>9</v>
      </c>
      <c r="M10" s="27" t="s">
        <v>8</v>
      </c>
      <c r="N10" s="28" t="s">
        <v>9</v>
      </c>
    </row>
    <row r="11" spans="2:14" ht="85.05" customHeight="1" thickBot="1">
      <c r="B11" s="3">
        <v>2</v>
      </c>
      <c r="C11" s="50" t="s">
        <v>10</v>
      </c>
      <c r="D11" s="49"/>
      <c r="E11" s="4" t="s">
        <v>8</v>
      </c>
      <c r="F11" s="8" t="s">
        <v>11</v>
      </c>
      <c r="G11" s="44" t="s">
        <v>12</v>
      </c>
      <c r="H11" s="34" t="s">
        <v>74</v>
      </c>
      <c r="I11" s="27" t="s">
        <v>8</v>
      </c>
      <c r="J11" s="28" t="s">
        <v>81</v>
      </c>
      <c r="K11" s="27" t="s">
        <v>8</v>
      </c>
      <c r="L11" s="28" t="s">
        <v>96</v>
      </c>
      <c r="M11" s="27" t="s">
        <v>8</v>
      </c>
      <c r="N11" s="28" t="s">
        <v>103</v>
      </c>
    </row>
    <row r="12" spans="2:14" ht="127.95" customHeight="1" thickBot="1">
      <c r="B12" s="3">
        <v>3</v>
      </c>
      <c r="C12" s="50" t="s">
        <v>13</v>
      </c>
      <c r="D12" s="49"/>
      <c r="E12" s="4" t="s">
        <v>8</v>
      </c>
      <c r="F12" s="8" t="s">
        <v>14</v>
      </c>
      <c r="G12" s="36" t="s">
        <v>8</v>
      </c>
      <c r="H12" s="34" t="s">
        <v>75</v>
      </c>
      <c r="I12" s="27" t="s">
        <v>8</v>
      </c>
      <c r="J12" s="28" t="s">
        <v>82</v>
      </c>
      <c r="K12" s="27" t="s">
        <v>8</v>
      </c>
      <c r="L12" s="28" t="s">
        <v>89</v>
      </c>
      <c r="M12" s="27" t="s">
        <v>8</v>
      </c>
      <c r="N12" s="28" t="s">
        <v>97</v>
      </c>
    </row>
    <row r="13" spans="2:14" ht="107.55" customHeight="1" thickBot="1">
      <c r="B13" s="3">
        <v>4</v>
      </c>
      <c r="C13" s="50" t="s">
        <v>15</v>
      </c>
      <c r="D13" s="49"/>
      <c r="E13" s="4" t="s">
        <v>8</v>
      </c>
      <c r="F13" s="9" t="s">
        <v>16</v>
      </c>
      <c r="G13" s="36" t="s">
        <v>8</v>
      </c>
      <c r="H13" s="10" t="s">
        <v>16</v>
      </c>
      <c r="I13" s="27" t="s">
        <v>8</v>
      </c>
      <c r="J13" s="37" t="s">
        <v>16</v>
      </c>
      <c r="K13" s="29" t="s">
        <v>12</v>
      </c>
      <c r="L13" s="28" t="s">
        <v>90</v>
      </c>
      <c r="M13" s="27" t="s">
        <v>8</v>
      </c>
      <c r="N13" s="28" t="s">
        <v>98</v>
      </c>
    </row>
    <row r="14" spans="2:14" ht="63" thickBot="1">
      <c r="B14" s="3">
        <v>5</v>
      </c>
      <c r="C14" s="50" t="s">
        <v>17</v>
      </c>
      <c r="D14" s="49"/>
      <c r="E14" s="4" t="s">
        <v>8</v>
      </c>
      <c r="F14" s="9" t="s">
        <v>18</v>
      </c>
      <c r="G14" s="38" t="s">
        <v>76</v>
      </c>
      <c r="H14" s="37" t="s">
        <v>77</v>
      </c>
      <c r="I14" s="27" t="s">
        <v>8</v>
      </c>
      <c r="J14" s="28" t="s">
        <v>83</v>
      </c>
      <c r="K14" s="27" t="s">
        <v>8</v>
      </c>
      <c r="L14" s="28" t="s">
        <v>64</v>
      </c>
      <c r="M14" s="27" t="s">
        <v>8</v>
      </c>
      <c r="N14" s="28" t="s">
        <v>99</v>
      </c>
    </row>
    <row r="15" spans="2:14" ht="47.4" thickBot="1">
      <c r="B15" s="3">
        <v>6</v>
      </c>
      <c r="C15" s="46" t="s">
        <v>19</v>
      </c>
      <c r="D15" s="47"/>
      <c r="E15" s="4" t="s">
        <v>8</v>
      </c>
      <c r="F15" s="37" t="s">
        <v>20</v>
      </c>
      <c r="G15" s="6" t="s">
        <v>8</v>
      </c>
      <c r="H15" s="9" t="s">
        <v>20</v>
      </c>
      <c r="I15" s="27" t="s">
        <v>8</v>
      </c>
      <c r="J15" s="28" t="s">
        <v>84</v>
      </c>
      <c r="K15" s="27" t="s">
        <v>8</v>
      </c>
      <c r="L15" s="28" t="s">
        <v>91</v>
      </c>
      <c r="M15" s="27" t="s">
        <v>8</v>
      </c>
      <c r="N15" s="28" t="s">
        <v>100</v>
      </c>
    </row>
    <row r="16" spans="2:14" ht="63" thickBot="1">
      <c r="B16" s="3">
        <v>7</v>
      </c>
      <c r="C16" s="50" t="s">
        <v>21</v>
      </c>
      <c r="D16" s="49"/>
      <c r="E16" s="35" t="s">
        <v>8</v>
      </c>
      <c r="F16" s="37" t="s">
        <v>71</v>
      </c>
      <c r="G16" s="35" t="s">
        <v>8</v>
      </c>
      <c r="H16" s="37" t="s">
        <v>65</v>
      </c>
      <c r="I16" s="27" t="s">
        <v>8</v>
      </c>
      <c r="J16" s="28" t="s">
        <v>85</v>
      </c>
      <c r="K16" s="27" t="s">
        <v>8</v>
      </c>
      <c r="L16" s="28" t="s">
        <v>92</v>
      </c>
      <c r="M16" s="27" t="s">
        <v>8</v>
      </c>
      <c r="N16" s="28" t="s">
        <v>101</v>
      </c>
    </row>
    <row r="17" spans="2:14" ht="87.45" customHeight="1" thickBot="1">
      <c r="B17" s="3">
        <v>8</v>
      </c>
      <c r="C17" s="50" t="s">
        <v>22</v>
      </c>
      <c r="D17" s="49"/>
      <c r="E17" s="6" t="s">
        <v>8</v>
      </c>
      <c r="F17" s="10" t="s">
        <v>23</v>
      </c>
      <c r="G17" s="6" t="s">
        <v>8</v>
      </c>
      <c r="H17" s="10" t="s">
        <v>23</v>
      </c>
      <c r="I17" s="27" t="s">
        <v>8</v>
      </c>
      <c r="J17" s="28" t="s">
        <v>86</v>
      </c>
      <c r="K17" s="27" t="s">
        <v>8</v>
      </c>
      <c r="L17" s="28" t="s">
        <v>93</v>
      </c>
      <c r="M17" s="27" t="s">
        <v>8</v>
      </c>
      <c r="N17" s="28" t="s">
        <v>102</v>
      </c>
    </row>
    <row r="18" spans="2:14" ht="86.55" customHeight="1" thickBot="1">
      <c r="B18" s="3">
        <v>9</v>
      </c>
      <c r="C18" s="50" t="s">
        <v>24</v>
      </c>
      <c r="D18" s="49"/>
      <c r="E18" s="38" t="s">
        <v>12</v>
      </c>
      <c r="F18" s="39" t="s">
        <v>72</v>
      </c>
      <c r="G18" s="36" t="s">
        <v>8</v>
      </c>
      <c r="H18" s="39" t="s">
        <v>80</v>
      </c>
      <c r="I18" s="27" t="s">
        <v>8</v>
      </c>
      <c r="J18" s="28" t="s">
        <v>87</v>
      </c>
      <c r="K18" s="29" t="s">
        <v>12</v>
      </c>
      <c r="L18" s="28" t="s">
        <v>95</v>
      </c>
      <c r="M18" s="27" t="s">
        <v>8</v>
      </c>
      <c r="N18" s="28" t="s">
        <v>104</v>
      </c>
    </row>
    <row r="19" spans="2:14" ht="47.4" thickBot="1">
      <c r="B19" s="3">
        <v>10</v>
      </c>
      <c r="C19" s="50" t="s">
        <v>25</v>
      </c>
      <c r="D19" s="49"/>
      <c r="E19" s="38" t="s">
        <v>12</v>
      </c>
      <c r="F19" s="37" t="s">
        <v>79</v>
      </c>
      <c r="G19" s="38" t="s">
        <v>12</v>
      </c>
      <c r="H19" s="37" t="s">
        <v>78</v>
      </c>
      <c r="I19" s="29" t="s">
        <v>12</v>
      </c>
      <c r="J19" s="28" t="s">
        <v>88</v>
      </c>
      <c r="K19" s="29" t="s">
        <v>12</v>
      </c>
      <c r="L19" s="28" t="s">
        <v>94</v>
      </c>
      <c r="M19" s="29" t="s">
        <v>12</v>
      </c>
      <c r="N19" s="28" t="s">
        <v>105</v>
      </c>
    </row>
    <row r="20" spans="2:14" ht="31.8" thickBot="1">
      <c r="B20" s="3">
        <v>11</v>
      </c>
      <c r="C20" s="50" t="s">
        <v>26</v>
      </c>
      <c r="D20" s="49"/>
      <c r="E20" s="6" t="s">
        <v>8</v>
      </c>
      <c r="F20" s="9" t="s">
        <v>27</v>
      </c>
      <c r="G20" s="6" t="s">
        <v>8</v>
      </c>
      <c r="H20" s="37" t="s">
        <v>27</v>
      </c>
      <c r="I20" s="27" t="s">
        <v>8</v>
      </c>
      <c r="J20" s="28" t="s">
        <v>27</v>
      </c>
      <c r="K20" s="27" t="s">
        <v>8</v>
      </c>
      <c r="L20" s="28" t="s">
        <v>27</v>
      </c>
      <c r="M20" s="27" t="s">
        <v>8</v>
      </c>
      <c r="N20" s="28" t="s">
        <v>27</v>
      </c>
    </row>
    <row r="21" spans="2:14" ht="14.25" customHeight="1">
      <c r="C21" s="1"/>
    </row>
    <row r="22" spans="2:14" ht="14.25" customHeight="1">
      <c r="C22" s="1"/>
    </row>
    <row r="23" spans="2:14" ht="14.25" customHeight="1">
      <c r="C23" s="1"/>
    </row>
    <row r="24" spans="2:14" ht="14.25" customHeight="1">
      <c r="C24" s="1"/>
    </row>
    <row r="25" spans="2:14" ht="14.25" customHeight="1">
      <c r="C25" s="1"/>
    </row>
    <row r="26" spans="2:14" ht="14.25" customHeight="1">
      <c r="C26" s="1"/>
    </row>
    <row r="27" spans="2:14" ht="14.25" customHeight="1">
      <c r="C27" s="1"/>
    </row>
    <row r="28" spans="2:14" ht="14.25" customHeight="1">
      <c r="C28" s="1"/>
    </row>
    <row r="29" spans="2:14" ht="14.25" customHeight="1">
      <c r="C29" s="1"/>
    </row>
    <row r="30" spans="2:14" ht="14.25" customHeight="1">
      <c r="C30" s="1"/>
    </row>
    <row r="31" spans="2:14" ht="14.25" customHeight="1">
      <c r="C31" s="1"/>
    </row>
    <row r="32" spans="2:14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5.75" customHeight="1"/>
    <row r="223" spans="3:3" ht="15.75" customHeight="1"/>
    <row r="224" spans="3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1">
    <mergeCell ref="B3:J4"/>
    <mergeCell ref="M7:M8"/>
    <mergeCell ref="N7:N8"/>
    <mergeCell ref="F7:L8"/>
    <mergeCell ref="B5:D5"/>
    <mergeCell ref="B7:B8"/>
    <mergeCell ref="E7:E8"/>
    <mergeCell ref="C7:D8"/>
    <mergeCell ref="B6:J6"/>
    <mergeCell ref="E5:J5"/>
    <mergeCell ref="C16:D16"/>
    <mergeCell ref="C17:D17"/>
    <mergeCell ref="C18:D18"/>
    <mergeCell ref="C19:D19"/>
    <mergeCell ref="C20:D20"/>
    <mergeCell ref="C15:D15"/>
    <mergeCell ref="C10:D10"/>
    <mergeCell ref="C11:D11"/>
    <mergeCell ref="C12:D12"/>
    <mergeCell ref="C13:D13"/>
    <mergeCell ref="C14:D14"/>
  </mergeCells>
  <printOptions horizontalCentered="1" verticalCentered="1"/>
  <pageMargins left="0.47" right="0.70866141732283472" top="0.74803149606299213" bottom="0.74803149606299213" header="0" footer="0"/>
  <pageSetup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zoomScale="70" zoomScaleNormal="70" workbookViewId="0">
      <selection activeCell="C3" sqref="C3:D3"/>
    </sheetView>
  </sheetViews>
  <sheetFormatPr baseColWidth="10" defaultColWidth="14.44140625" defaultRowHeight="15" customHeight="1"/>
  <cols>
    <col min="1" max="1" width="10.77734375" customWidth="1"/>
    <col min="2" max="2" width="36.77734375" customWidth="1"/>
    <col min="3" max="3" width="16.109375" customWidth="1"/>
    <col min="4" max="4" width="22" customWidth="1"/>
    <col min="5" max="6" width="10.77734375" customWidth="1"/>
    <col min="7" max="7" width="36.77734375" customWidth="1"/>
    <col min="8" max="8" width="20.5546875" customWidth="1"/>
    <col min="9" max="9" width="21.77734375" customWidth="1"/>
    <col min="10" max="11" width="10.77734375" customWidth="1"/>
    <col min="12" max="12" width="36.77734375" customWidth="1"/>
    <col min="13" max="13" width="20.5546875" customWidth="1"/>
    <col min="14" max="14" width="21.5546875" customWidth="1"/>
    <col min="15" max="24" width="10.77734375" customWidth="1"/>
  </cols>
  <sheetData>
    <row r="1" spans="1:16" ht="18">
      <c r="A1" s="75" t="s">
        <v>1</v>
      </c>
      <c r="B1" s="69"/>
      <c r="C1" s="76" t="s">
        <v>2</v>
      </c>
      <c r="D1" s="69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8">
      <c r="A2" s="68" t="s">
        <v>28</v>
      </c>
      <c r="B2" s="69"/>
      <c r="C2" s="77">
        <v>46155</v>
      </c>
      <c r="D2" s="69"/>
    </row>
    <row r="3" spans="1:16" ht="18">
      <c r="A3" s="68" t="s">
        <v>29</v>
      </c>
      <c r="B3" s="69"/>
      <c r="C3" s="78" t="s">
        <v>30</v>
      </c>
      <c r="D3" s="69"/>
    </row>
    <row r="4" spans="1:16" ht="18">
      <c r="A4" s="68" t="s">
        <v>31</v>
      </c>
      <c r="B4" s="69"/>
      <c r="C4" s="72" t="s">
        <v>106</v>
      </c>
      <c r="D4" s="69"/>
    </row>
    <row r="5" spans="1:16" ht="14.25" customHeight="1"/>
    <row r="6" spans="1:16" ht="23.4">
      <c r="A6" s="73" t="s">
        <v>32</v>
      </c>
      <c r="B6" s="74"/>
      <c r="C6" s="74"/>
      <c r="D6" s="69"/>
    </row>
    <row r="7" spans="1:16" ht="18">
      <c r="A7" s="12" t="s">
        <v>33</v>
      </c>
      <c r="B7" s="12" t="s">
        <v>34</v>
      </c>
      <c r="C7" s="12" t="s">
        <v>35</v>
      </c>
      <c r="D7" s="12" t="s">
        <v>36</v>
      </c>
    </row>
    <row r="8" spans="1:16" ht="28.8">
      <c r="A8" s="13">
        <v>1</v>
      </c>
      <c r="B8" s="14" t="s">
        <v>37</v>
      </c>
      <c r="C8" s="13"/>
      <c r="D8" s="40" t="s">
        <v>38</v>
      </c>
    </row>
    <row r="9" spans="1:16" ht="28.8">
      <c r="A9" s="13">
        <v>2</v>
      </c>
      <c r="B9" s="14" t="s">
        <v>39</v>
      </c>
      <c r="C9" s="13" t="s">
        <v>38</v>
      </c>
      <c r="D9" s="13"/>
    </row>
    <row r="10" spans="1:16" ht="57.6">
      <c r="A10" s="13">
        <v>3</v>
      </c>
      <c r="B10" s="14" t="s">
        <v>40</v>
      </c>
      <c r="C10" s="13"/>
      <c r="D10" s="15" t="s">
        <v>38</v>
      </c>
    </row>
    <row r="11" spans="1:16" ht="28.8">
      <c r="A11" s="13">
        <v>4</v>
      </c>
      <c r="B11" s="14" t="s">
        <v>41</v>
      </c>
      <c r="C11" s="40" t="s">
        <v>38</v>
      </c>
      <c r="D11" s="40"/>
    </row>
    <row r="12" spans="1:16" ht="28.8">
      <c r="A12" s="13">
        <v>5</v>
      </c>
      <c r="B12" s="14" t="s">
        <v>42</v>
      </c>
      <c r="C12" s="13" t="s">
        <v>38</v>
      </c>
      <c r="D12" s="13"/>
    </row>
    <row r="13" spans="1:16" ht="28.8">
      <c r="A13" s="13">
        <v>6</v>
      </c>
      <c r="B13" s="14" t="s">
        <v>43</v>
      </c>
      <c r="C13" s="13" t="s">
        <v>38</v>
      </c>
      <c r="D13" s="13"/>
    </row>
    <row r="14" spans="1:16" ht="28.8">
      <c r="A14" s="13">
        <v>7</v>
      </c>
      <c r="B14" s="14" t="s">
        <v>44</v>
      </c>
      <c r="C14" s="13" t="s">
        <v>38</v>
      </c>
      <c r="D14" s="13"/>
    </row>
    <row r="15" spans="1:16" ht="43.2">
      <c r="A15" s="13">
        <v>8</v>
      </c>
      <c r="B15" s="14" t="s">
        <v>45</v>
      </c>
      <c r="C15" s="13" t="s">
        <v>38</v>
      </c>
      <c r="D15" s="13"/>
    </row>
    <row r="16" spans="1:16" ht="57.6">
      <c r="A16" s="13">
        <v>9</v>
      </c>
      <c r="B16" s="14" t="s">
        <v>46</v>
      </c>
      <c r="C16" s="16" t="s">
        <v>38</v>
      </c>
      <c r="D16" s="16"/>
    </row>
    <row r="17" spans="1:4" ht="18">
      <c r="A17" s="70" t="s">
        <v>47</v>
      </c>
      <c r="B17" s="69"/>
      <c r="C17" s="2">
        <f>COUNTA('MODELO LISTA DE COMPROBACION 1'!$C$8:$C$16)</f>
        <v>7</v>
      </c>
      <c r="D17" s="2">
        <f>COUNTA('MODELO LISTA DE COMPROBACION 1'!$D$8:$D$16)</f>
        <v>2</v>
      </c>
    </row>
    <row r="18" spans="1:4" ht="18">
      <c r="A18" s="70" t="s">
        <v>48</v>
      </c>
      <c r="B18" s="69"/>
      <c r="C18" s="17">
        <f t="shared" ref="C18:D18" si="0">C17/9</f>
        <v>0.77777777777777779</v>
      </c>
      <c r="D18" s="17">
        <f t="shared" si="0"/>
        <v>0.22222222222222221</v>
      </c>
    </row>
    <row r="19" spans="1:4" ht="14.25" customHeight="1">
      <c r="A19" s="18"/>
      <c r="B19" s="18"/>
      <c r="C19" s="19"/>
      <c r="D19" s="7"/>
    </row>
    <row r="20" spans="1:4" ht="23.4">
      <c r="A20" s="73" t="s">
        <v>49</v>
      </c>
      <c r="B20" s="74"/>
      <c r="C20" s="74"/>
      <c r="D20" s="69"/>
    </row>
    <row r="21" spans="1:4" ht="21">
      <c r="A21" s="20" t="s">
        <v>33</v>
      </c>
      <c r="B21" s="20" t="s">
        <v>34</v>
      </c>
      <c r="C21" s="21" t="s">
        <v>35</v>
      </c>
      <c r="D21" s="21" t="s">
        <v>36</v>
      </c>
    </row>
    <row r="22" spans="1:4" ht="28.8">
      <c r="A22" s="13">
        <v>1</v>
      </c>
      <c r="B22" s="14" t="s">
        <v>50</v>
      </c>
      <c r="C22" s="13" t="s">
        <v>38</v>
      </c>
      <c r="D22" s="13"/>
    </row>
    <row r="23" spans="1:4" ht="28.8">
      <c r="A23" s="13">
        <v>2</v>
      </c>
      <c r="B23" s="14" t="s">
        <v>51</v>
      </c>
      <c r="C23" s="13" t="s">
        <v>38</v>
      </c>
      <c r="D23" s="13"/>
    </row>
    <row r="24" spans="1:4" ht="28.8">
      <c r="A24" s="13">
        <v>3</v>
      </c>
      <c r="B24" s="14" t="s">
        <v>52</v>
      </c>
      <c r="C24" s="13" t="s">
        <v>38</v>
      </c>
      <c r="D24" s="13"/>
    </row>
    <row r="25" spans="1:4" ht="28.8">
      <c r="A25" s="13">
        <v>4</v>
      </c>
      <c r="B25" s="14" t="s">
        <v>53</v>
      </c>
      <c r="C25" s="40" t="s">
        <v>38</v>
      </c>
      <c r="D25" s="40"/>
    </row>
    <row r="26" spans="1:4" ht="14.4">
      <c r="A26" s="13">
        <v>5</v>
      </c>
      <c r="B26" s="14" t="s">
        <v>54</v>
      </c>
      <c r="C26" s="13" t="s">
        <v>38</v>
      </c>
      <c r="D26" s="13"/>
    </row>
    <row r="27" spans="1:4" ht="18">
      <c r="A27" s="70" t="s">
        <v>47</v>
      </c>
      <c r="B27" s="69"/>
      <c r="C27" s="2">
        <f>COUNTA('MODELO LISTA DE COMPROBACION 1'!$C$22:$C$26)</f>
        <v>5</v>
      </c>
      <c r="D27" s="2">
        <f>COUNTA('MODELO LISTA DE COMPROBACION 1'!$D$22:$D$26)</f>
        <v>0</v>
      </c>
    </row>
    <row r="28" spans="1:4" ht="18">
      <c r="A28" s="70" t="s">
        <v>48</v>
      </c>
      <c r="B28" s="69"/>
      <c r="C28" s="17">
        <f t="shared" ref="C28:D28" si="1">C27/5</f>
        <v>1</v>
      </c>
      <c r="D28" s="17">
        <f t="shared" si="1"/>
        <v>0</v>
      </c>
    </row>
    <row r="29" spans="1:4" ht="14.25" customHeight="1">
      <c r="A29" s="18"/>
      <c r="B29" s="18"/>
      <c r="C29" s="19"/>
      <c r="D29" s="7"/>
    </row>
    <row r="30" spans="1:4" ht="23.4">
      <c r="A30" s="73" t="s">
        <v>55</v>
      </c>
      <c r="B30" s="74"/>
      <c r="C30" s="74"/>
      <c r="D30" s="69"/>
    </row>
    <row r="31" spans="1:4" ht="21">
      <c r="A31" s="20" t="s">
        <v>33</v>
      </c>
      <c r="B31" s="20" t="s">
        <v>34</v>
      </c>
      <c r="C31" s="21" t="s">
        <v>35</v>
      </c>
      <c r="D31" s="21" t="s">
        <v>36</v>
      </c>
    </row>
    <row r="32" spans="1:4" ht="28.8">
      <c r="A32" s="13">
        <v>1</v>
      </c>
      <c r="B32" s="14" t="s">
        <v>56</v>
      </c>
      <c r="C32" s="13" t="s">
        <v>38</v>
      </c>
      <c r="D32" s="13"/>
    </row>
    <row r="33" spans="1:4" ht="28.8">
      <c r="A33" s="13">
        <v>2</v>
      </c>
      <c r="B33" s="14" t="s">
        <v>57</v>
      </c>
      <c r="C33" s="13" t="s">
        <v>38</v>
      </c>
      <c r="D33" s="13"/>
    </row>
    <row r="34" spans="1:4" ht="43.2">
      <c r="A34" s="13">
        <v>3</v>
      </c>
      <c r="B34" s="14" t="s">
        <v>58</v>
      </c>
      <c r="C34" s="13"/>
      <c r="D34" s="40" t="s">
        <v>38</v>
      </c>
    </row>
    <row r="35" spans="1:4" ht="18">
      <c r="A35" s="70" t="s">
        <v>47</v>
      </c>
      <c r="B35" s="69"/>
      <c r="C35" s="2">
        <f>COUNTA('MODELO LISTA DE COMPROBACION 1'!$C$32:$C$34)</f>
        <v>2</v>
      </c>
      <c r="D35" s="2">
        <f>COUNTA('MODELO LISTA DE COMPROBACION 1'!$D$32:$D$34)</f>
        <v>1</v>
      </c>
    </row>
    <row r="36" spans="1:4" ht="18">
      <c r="A36" s="70" t="s">
        <v>48</v>
      </c>
      <c r="B36" s="69"/>
      <c r="C36" s="17">
        <f t="shared" ref="C36:D36" si="2">C35/3</f>
        <v>0.66666666666666663</v>
      </c>
      <c r="D36" s="17">
        <f t="shared" si="2"/>
        <v>0.33333333333333331</v>
      </c>
    </row>
    <row r="37" spans="1:4" ht="14.25" customHeight="1"/>
    <row r="38" spans="1:4" ht="14.25" customHeight="1"/>
    <row r="39" spans="1:4" ht="14.25" customHeight="1"/>
    <row r="40" spans="1:4" ht="14.25" customHeight="1">
      <c r="B40" s="71" t="s">
        <v>59</v>
      </c>
      <c r="C40" s="69"/>
    </row>
    <row r="41" spans="1:4" ht="30" customHeight="1">
      <c r="B41" s="22" t="s">
        <v>60</v>
      </c>
      <c r="C41" s="23">
        <v>78</v>
      </c>
    </row>
    <row r="42" spans="1:4" ht="30" customHeight="1">
      <c r="B42" s="22" t="s">
        <v>49</v>
      </c>
      <c r="C42" s="23">
        <v>100</v>
      </c>
    </row>
    <row r="43" spans="1:4" ht="30" customHeight="1">
      <c r="B43" s="22" t="s">
        <v>55</v>
      </c>
      <c r="C43" s="2">
        <v>67</v>
      </c>
    </row>
    <row r="44" spans="1:4" ht="14.25" customHeight="1">
      <c r="C44" s="7"/>
    </row>
    <row r="45" spans="1:4" ht="14.25" customHeight="1">
      <c r="C45" s="7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B1"/>
    <mergeCell ref="C1:D1"/>
    <mergeCell ref="A2:B2"/>
    <mergeCell ref="C2:D2"/>
    <mergeCell ref="A3:B3"/>
    <mergeCell ref="C3:D3"/>
    <mergeCell ref="A4:B4"/>
    <mergeCell ref="A28:B28"/>
    <mergeCell ref="A35:B35"/>
    <mergeCell ref="A36:B36"/>
    <mergeCell ref="B40:C40"/>
    <mergeCell ref="C4:D4"/>
    <mergeCell ref="A6:D6"/>
    <mergeCell ref="A17:B17"/>
    <mergeCell ref="A18:B18"/>
    <mergeCell ref="A20:D20"/>
    <mergeCell ref="A27:B27"/>
    <mergeCell ref="A30:D30"/>
  </mergeCells>
  <conditionalFormatting sqref="A32:D34">
    <cfRule type="containsText" dxfId="39" priority="1" operator="containsText" text="X">
      <formula>NOT(ISERROR(SEARCH(("X"),(A32))))</formula>
    </cfRule>
  </conditionalFormatting>
  <conditionalFormatting sqref="C8:D16 C22:C26 C32:D34">
    <cfRule type="containsText" dxfId="38" priority="3" operator="containsText" text="X">
      <formula>NOT(ISERROR(SEARCH(("X"),(C8))))</formula>
    </cfRule>
    <cfRule type="containsText" dxfId="37" priority="4" operator="containsText" text="X">
      <formula>NOT(ISERROR(SEARCH(("X"),(C8))))</formula>
    </cfRule>
    <cfRule type="containsText" dxfId="36" priority="5" operator="containsText" text="X">
      <formula>NOT(ISERROR(SEARCH(("X"),(C8))))</formula>
    </cfRule>
  </conditionalFormatting>
  <conditionalFormatting sqref="C22:D26">
    <cfRule type="containsText" dxfId="35" priority="6" operator="containsText" text="X">
      <formula>NOT(ISERROR(SEARCH(("X"),(C22))))</formula>
    </cfRule>
    <cfRule type="containsText" dxfId="34" priority="7" operator="containsText" text="X">
      <formula>NOT(ISERROR(SEARCH(("X"),(C22))))</formula>
    </cfRule>
  </conditionalFormatting>
  <conditionalFormatting sqref="C32:D34 C8:D16 C22:C26">
    <cfRule type="containsText" dxfId="33" priority="2" operator="containsText" text="X">
      <formula>NOT(ISERROR(SEARCH(("X"),(C8))))</formula>
    </cfRule>
  </conditionalFormatting>
  <conditionalFormatting sqref="C32:D34">
    <cfRule type="containsText" dxfId="32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F4" sqref="F4"/>
    </sheetView>
  </sheetViews>
  <sheetFormatPr baseColWidth="10" defaultColWidth="14.44140625" defaultRowHeight="15" customHeight="1"/>
  <cols>
    <col min="1" max="1" width="10.77734375" customWidth="1"/>
    <col min="2" max="2" width="36.77734375" customWidth="1"/>
    <col min="3" max="3" width="16.109375" customWidth="1"/>
    <col min="4" max="4" width="25.77734375" customWidth="1"/>
    <col min="5" max="6" width="10.77734375" customWidth="1"/>
    <col min="7" max="7" width="36.77734375" customWidth="1"/>
    <col min="8" max="8" width="20.5546875" customWidth="1"/>
    <col min="9" max="9" width="21.77734375" customWidth="1"/>
    <col min="10" max="11" width="10.77734375" customWidth="1"/>
    <col min="12" max="12" width="36.77734375" customWidth="1"/>
    <col min="13" max="13" width="20.5546875" customWidth="1"/>
    <col min="14" max="14" width="21.5546875" customWidth="1"/>
    <col min="15" max="24" width="10.77734375" customWidth="1"/>
  </cols>
  <sheetData>
    <row r="1" spans="1:26" ht="18">
      <c r="A1" s="75" t="s">
        <v>1</v>
      </c>
      <c r="B1" s="69"/>
      <c r="C1" s="76" t="s">
        <v>2</v>
      </c>
      <c r="D1" s="69"/>
      <c r="E1" s="11"/>
      <c r="J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>
      <c r="A2" s="68" t="s">
        <v>28</v>
      </c>
      <c r="B2" s="69"/>
      <c r="C2" s="77">
        <v>46155</v>
      </c>
      <c r="D2" s="69"/>
    </row>
    <row r="3" spans="1:26" ht="18">
      <c r="A3" s="68" t="s">
        <v>29</v>
      </c>
      <c r="B3" s="69"/>
      <c r="C3" s="72" t="s">
        <v>30</v>
      </c>
      <c r="D3" s="69"/>
    </row>
    <row r="4" spans="1:26" ht="18">
      <c r="A4" s="68" t="s">
        <v>31</v>
      </c>
      <c r="B4" s="69"/>
      <c r="C4" s="72" t="s">
        <v>107</v>
      </c>
      <c r="D4" s="69"/>
    </row>
    <row r="5" spans="1:26" ht="14.25" customHeight="1"/>
    <row r="6" spans="1:26" ht="23.4">
      <c r="A6" s="73" t="s">
        <v>32</v>
      </c>
      <c r="B6" s="74"/>
      <c r="C6" s="74"/>
      <c r="D6" s="69"/>
    </row>
    <row r="7" spans="1:26" ht="18">
      <c r="A7" s="12" t="s">
        <v>33</v>
      </c>
      <c r="B7" s="12" t="s">
        <v>34</v>
      </c>
      <c r="C7" s="12" t="s">
        <v>35</v>
      </c>
      <c r="D7" s="12" t="s">
        <v>36</v>
      </c>
    </row>
    <row r="8" spans="1:26" ht="28.8">
      <c r="A8" s="13">
        <v>1</v>
      </c>
      <c r="B8" s="14" t="s">
        <v>37</v>
      </c>
      <c r="C8" s="13" t="s">
        <v>38</v>
      </c>
      <c r="D8" s="13"/>
    </row>
    <row r="9" spans="1:26" ht="28.8">
      <c r="A9" s="13">
        <v>2</v>
      </c>
      <c r="B9" s="14" t="s">
        <v>39</v>
      </c>
      <c r="C9" s="13" t="s">
        <v>38</v>
      </c>
      <c r="D9" s="13"/>
    </row>
    <row r="10" spans="1:26" ht="57.6">
      <c r="A10" s="13">
        <v>3</v>
      </c>
      <c r="B10" s="14" t="s">
        <v>40</v>
      </c>
      <c r="D10" s="15" t="s">
        <v>38</v>
      </c>
    </row>
    <row r="11" spans="1:26" ht="28.8">
      <c r="A11" s="13">
        <v>4</v>
      </c>
      <c r="B11" s="14" t="s">
        <v>41</v>
      </c>
      <c r="C11" s="13" t="s">
        <v>38</v>
      </c>
      <c r="D11" s="13"/>
    </row>
    <row r="12" spans="1:26" ht="28.8">
      <c r="A12" s="13">
        <v>5</v>
      </c>
      <c r="B12" s="14" t="s">
        <v>42</v>
      </c>
      <c r="C12" s="13" t="s">
        <v>38</v>
      </c>
      <c r="D12" s="13"/>
    </row>
    <row r="13" spans="1:26" ht="28.8">
      <c r="A13" s="13">
        <v>6</v>
      </c>
      <c r="B13" s="14" t="s">
        <v>43</v>
      </c>
      <c r="C13" s="13" t="s">
        <v>38</v>
      </c>
      <c r="D13" s="13"/>
    </row>
    <row r="14" spans="1:26" ht="28.8">
      <c r="A14" s="13">
        <v>7</v>
      </c>
      <c r="B14" s="14" t="s">
        <v>44</v>
      </c>
      <c r="C14" s="13" t="s">
        <v>38</v>
      </c>
      <c r="D14" s="13"/>
    </row>
    <row r="15" spans="1:26" ht="43.2">
      <c r="A15" s="13">
        <v>8</v>
      </c>
      <c r="B15" s="14" t="s">
        <v>45</v>
      </c>
      <c r="C15" s="13" t="s">
        <v>38</v>
      </c>
      <c r="D15" s="13"/>
    </row>
    <row r="16" spans="1:26" ht="57.6">
      <c r="A16" s="13">
        <v>9</v>
      </c>
      <c r="B16" s="14" t="s">
        <v>46</v>
      </c>
      <c r="C16" s="16" t="s">
        <v>38</v>
      </c>
      <c r="D16" s="16"/>
    </row>
    <row r="17" spans="1:4" ht="18">
      <c r="A17" s="70" t="s">
        <v>47</v>
      </c>
      <c r="B17" s="69"/>
      <c r="C17" s="2">
        <f>COUNTA('MODELO LISTA DE COMPROBACION 2'!$C$8:$C$16)</f>
        <v>8</v>
      </c>
      <c r="D17" s="2">
        <f>COUNTA('MODELO LISTA DE COMPROBACION 2'!$D$8:$D$16)</f>
        <v>1</v>
      </c>
    </row>
    <row r="18" spans="1:4" ht="18">
      <c r="A18" s="70" t="s">
        <v>48</v>
      </c>
      <c r="B18" s="69"/>
      <c r="C18" s="17">
        <f t="shared" ref="C18:D18" si="0">C17/9</f>
        <v>0.88888888888888884</v>
      </c>
      <c r="D18" s="17">
        <f t="shared" si="0"/>
        <v>0.1111111111111111</v>
      </c>
    </row>
    <row r="19" spans="1:4" ht="14.25" customHeight="1">
      <c r="A19" s="18"/>
      <c r="B19" s="18"/>
      <c r="C19" s="19"/>
      <c r="D19" s="7"/>
    </row>
    <row r="20" spans="1:4" ht="23.4">
      <c r="A20" s="73" t="s">
        <v>49</v>
      </c>
      <c r="B20" s="74"/>
      <c r="C20" s="74"/>
      <c r="D20" s="69"/>
    </row>
    <row r="21" spans="1:4" ht="21">
      <c r="A21" s="20" t="s">
        <v>33</v>
      </c>
      <c r="B21" s="20" t="s">
        <v>34</v>
      </c>
      <c r="C21" s="21" t="s">
        <v>35</v>
      </c>
      <c r="D21" s="21" t="s">
        <v>36</v>
      </c>
    </row>
    <row r="22" spans="1:4" ht="28.8">
      <c r="A22" s="13">
        <v>1</v>
      </c>
      <c r="B22" s="14" t="s">
        <v>50</v>
      </c>
      <c r="C22" s="13" t="s">
        <v>38</v>
      </c>
      <c r="D22" s="13"/>
    </row>
    <row r="23" spans="1:4" ht="28.8">
      <c r="A23" s="13">
        <v>2</v>
      </c>
      <c r="B23" s="14" t="s">
        <v>51</v>
      </c>
      <c r="C23" s="13" t="s">
        <v>38</v>
      </c>
      <c r="D23" s="13"/>
    </row>
    <row r="24" spans="1:4" ht="28.8">
      <c r="A24" s="13">
        <v>3</v>
      </c>
      <c r="B24" s="14" t="s">
        <v>52</v>
      </c>
      <c r="C24" s="13" t="s">
        <v>38</v>
      </c>
      <c r="D24" s="13"/>
    </row>
    <row r="25" spans="1:4" ht="28.8">
      <c r="A25" s="13">
        <v>4</v>
      </c>
      <c r="B25" s="14" t="s">
        <v>53</v>
      </c>
      <c r="C25" s="13"/>
      <c r="D25" s="40" t="s">
        <v>38</v>
      </c>
    </row>
    <row r="26" spans="1:4" ht="14.4">
      <c r="A26" s="13">
        <v>5</v>
      </c>
      <c r="B26" s="14" t="s">
        <v>54</v>
      </c>
      <c r="C26" s="13" t="s">
        <v>38</v>
      </c>
      <c r="D26" s="13"/>
    </row>
    <row r="27" spans="1:4" ht="18">
      <c r="A27" s="70" t="s">
        <v>47</v>
      </c>
      <c r="B27" s="69"/>
      <c r="C27" s="23">
        <v>4</v>
      </c>
      <c r="D27" s="23">
        <v>1</v>
      </c>
    </row>
    <row r="28" spans="1:4" ht="18">
      <c r="A28" s="70" t="s">
        <v>48</v>
      </c>
      <c r="B28" s="69"/>
      <c r="C28" s="17">
        <f t="shared" ref="C28:D28" si="1">C27/5</f>
        <v>0.8</v>
      </c>
      <c r="D28" s="17">
        <f t="shared" si="1"/>
        <v>0.2</v>
      </c>
    </row>
    <row r="29" spans="1:4" ht="14.25" customHeight="1">
      <c r="A29" s="18"/>
      <c r="B29" s="18"/>
      <c r="C29" s="19"/>
      <c r="D29" s="7"/>
    </row>
    <row r="30" spans="1:4" ht="23.4">
      <c r="A30" s="73" t="s">
        <v>55</v>
      </c>
      <c r="B30" s="74"/>
      <c r="C30" s="74"/>
      <c r="D30" s="69"/>
    </row>
    <row r="31" spans="1:4" ht="21">
      <c r="A31" s="20" t="s">
        <v>33</v>
      </c>
      <c r="B31" s="20" t="s">
        <v>34</v>
      </c>
      <c r="C31" s="21" t="s">
        <v>35</v>
      </c>
      <c r="D31" s="21" t="s">
        <v>36</v>
      </c>
    </row>
    <row r="32" spans="1:4" ht="28.8">
      <c r="A32" s="13">
        <v>1</v>
      </c>
      <c r="B32" s="14" t="s">
        <v>56</v>
      </c>
      <c r="C32" s="13" t="s">
        <v>38</v>
      </c>
      <c r="D32" s="13"/>
    </row>
    <row r="33" spans="1:4" ht="28.8">
      <c r="A33" s="13">
        <v>2</v>
      </c>
      <c r="B33" s="14" t="s">
        <v>57</v>
      </c>
      <c r="C33" s="40" t="s">
        <v>38</v>
      </c>
      <c r="D33" s="40"/>
    </row>
    <row r="34" spans="1:4" ht="43.2">
      <c r="A34" s="13">
        <v>3</v>
      </c>
      <c r="B34" s="14" t="s">
        <v>58</v>
      </c>
      <c r="C34" s="13"/>
      <c r="D34" s="40" t="s">
        <v>38</v>
      </c>
    </row>
    <row r="35" spans="1:4" ht="18">
      <c r="A35" s="70" t="s">
        <v>47</v>
      </c>
      <c r="B35" s="69"/>
      <c r="C35" s="23">
        <v>2</v>
      </c>
      <c r="D35" s="23">
        <v>1</v>
      </c>
    </row>
    <row r="36" spans="1:4" ht="18">
      <c r="A36" s="70" t="s">
        <v>48</v>
      </c>
      <c r="B36" s="69"/>
      <c r="C36" s="17">
        <f t="shared" ref="C36" si="2">C35/3</f>
        <v>0.66666666666666663</v>
      </c>
      <c r="D36" s="17">
        <f>D35/3</f>
        <v>0.33333333333333331</v>
      </c>
    </row>
    <row r="37" spans="1:4" ht="14.25" customHeight="1"/>
    <row r="38" spans="1:4" ht="14.25" customHeight="1"/>
    <row r="39" spans="1:4" ht="14.25" customHeight="1"/>
    <row r="40" spans="1:4" ht="14.25" customHeight="1">
      <c r="B40" s="71" t="s">
        <v>59</v>
      </c>
      <c r="C40" s="69"/>
      <c r="D40" s="24"/>
    </row>
    <row r="41" spans="1:4" ht="30" customHeight="1">
      <c r="B41" s="22" t="s">
        <v>60</v>
      </c>
      <c r="C41" s="23">
        <v>89</v>
      </c>
      <c r="D41" s="25"/>
    </row>
    <row r="42" spans="1:4" ht="30" customHeight="1">
      <c r="B42" s="22" t="s">
        <v>49</v>
      </c>
      <c r="C42" s="23">
        <v>80</v>
      </c>
      <c r="D42" s="25"/>
    </row>
    <row r="43" spans="1:4" ht="30" customHeight="1">
      <c r="B43" s="22" t="s">
        <v>55</v>
      </c>
      <c r="C43" s="2">
        <v>67</v>
      </c>
      <c r="D43" s="7"/>
    </row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B1"/>
    <mergeCell ref="C1:D1"/>
    <mergeCell ref="A2:B2"/>
    <mergeCell ref="C2:D2"/>
    <mergeCell ref="A3:B3"/>
    <mergeCell ref="C3:D3"/>
    <mergeCell ref="A4:B4"/>
    <mergeCell ref="A28:B28"/>
    <mergeCell ref="A35:B35"/>
    <mergeCell ref="A36:B36"/>
    <mergeCell ref="B40:C40"/>
    <mergeCell ref="C4:D4"/>
    <mergeCell ref="A6:D6"/>
    <mergeCell ref="A17:B17"/>
    <mergeCell ref="A18:B18"/>
    <mergeCell ref="A20:D20"/>
    <mergeCell ref="A27:B27"/>
    <mergeCell ref="A30:D30"/>
  </mergeCells>
  <conditionalFormatting sqref="A32:D34 F32:I34 K32:N34">
    <cfRule type="containsText" dxfId="31" priority="1" operator="containsText" text="X">
      <formula>NOT(ISERROR(SEARCH(("X"),(A32))))</formula>
    </cfRule>
  </conditionalFormatting>
  <conditionalFormatting sqref="C8:D16 H8:I16 M8:N16 C22:C26 H22:H26 M22:M26 C32:D34 H32:I34 M32:N34">
    <cfRule type="containsText" dxfId="30" priority="3" operator="containsText" text="X">
      <formula>NOT(ISERROR(SEARCH(("X"),(C8))))</formula>
    </cfRule>
    <cfRule type="containsText" dxfId="29" priority="4" operator="containsText" text="X">
      <formula>NOT(ISERROR(SEARCH(("X"),(C8))))</formula>
    </cfRule>
    <cfRule type="containsText" dxfId="28" priority="5" operator="containsText" text="X">
      <formula>NOT(ISERROR(SEARCH(("X"),(C8))))</formula>
    </cfRule>
  </conditionalFormatting>
  <conditionalFormatting sqref="C22:D26 H22:I26 M22:N26">
    <cfRule type="containsText" dxfId="27" priority="6" operator="containsText" text="X">
      <formula>NOT(ISERROR(SEARCH(("X"),(C22))))</formula>
    </cfRule>
    <cfRule type="containsText" dxfId="26" priority="7" operator="containsText" text="X">
      <formula>NOT(ISERROR(SEARCH(("X"),(C22))))</formula>
    </cfRule>
  </conditionalFormatting>
  <conditionalFormatting sqref="C32:D34 H32:I34 M32:N34 C8:D16 H8:I16 M8:N16 C22:C26 H22:H26 M22:M26">
    <cfRule type="containsText" dxfId="25" priority="2" operator="containsText" text="X">
      <formula>NOT(ISERROR(SEARCH(("X"),(C8))))</formula>
    </cfRule>
  </conditionalFormatting>
  <conditionalFormatting sqref="C32:D34 H32:I34 M32:N34">
    <cfRule type="containsText" dxfId="24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8" workbookViewId="0">
      <selection activeCell="D47" sqref="D47"/>
    </sheetView>
  </sheetViews>
  <sheetFormatPr baseColWidth="10" defaultColWidth="14.44140625" defaultRowHeight="15" customHeight="1"/>
  <cols>
    <col min="1" max="1" width="10.77734375" customWidth="1"/>
    <col min="2" max="2" width="36.77734375" customWidth="1"/>
    <col min="3" max="3" width="16.109375" customWidth="1"/>
    <col min="4" max="4" width="22" customWidth="1"/>
    <col min="5" max="6" width="10.77734375" customWidth="1"/>
    <col min="7" max="7" width="36.77734375" customWidth="1"/>
    <col min="8" max="8" width="20.5546875" customWidth="1"/>
    <col min="9" max="9" width="21.77734375" customWidth="1"/>
    <col min="10" max="11" width="10.77734375" customWidth="1"/>
    <col min="12" max="12" width="36.77734375" customWidth="1"/>
    <col min="13" max="13" width="20.5546875" customWidth="1"/>
    <col min="14" max="14" width="21.5546875" customWidth="1"/>
    <col min="15" max="24" width="10.77734375" customWidth="1"/>
  </cols>
  <sheetData>
    <row r="1" spans="1:26" ht="18">
      <c r="A1" s="75" t="s">
        <v>1</v>
      </c>
      <c r="B1" s="69"/>
      <c r="C1" s="76" t="s">
        <v>2</v>
      </c>
      <c r="D1" s="69"/>
      <c r="E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>
      <c r="A2" s="68" t="s">
        <v>28</v>
      </c>
      <c r="B2" s="69"/>
      <c r="C2" s="77">
        <v>46155</v>
      </c>
      <c r="D2" s="69"/>
    </row>
    <row r="3" spans="1:26" ht="18">
      <c r="A3" s="68" t="s">
        <v>29</v>
      </c>
      <c r="B3" s="69"/>
      <c r="C3" s="72" t="s">
        <v>61</v>
      </c>
      <c r="D3" s="69"/>
    </row>
    <row r="4" spans="1:26" ht="18">
      <c r="A4" s="68" t="s">
        <v>31</v>
      </c>
      <c r="B4" s="69"/>
      <c r="C4" s="72" t="s">
        <v>108</v>
      </c>
      <c r="D4" s="69"/>
    </row>
    <row r="5" spans="1:26" ht="14.25" customHeight="1"/>
    <row r="6" spans="1:26" ht="23.4">
      <c r="A6" s="73" t="s">
        <v>32</v>
      </c>
      <c r="B6" s="74"/>
      <c r="C6" s="74"/>
      <c r="D6" s="69"/>
    </row>
    <row r="7" spans="1:26" ht="18">
      <c r="A7" s="12" t="s">
        <v>33</v>
      </c>
      <c r="B7" s="12" t="s">
        <v>34</v>
      </c>
      <c r="C7" s="12" t="s">
        <v>35</v>
      </c>
      <c r="D7" s="12" t="s">
        <v>36</v>
      </c>
    </row>
    <row r="8" spans="1:26" ht="28.8">
      <c r="A8" s="13">
        <v>1</v>
      </c>
      <c r="B8" s="14" t="s">
        <v>37</v>
      </c>
      <c r="C8" s="13" t="s">
        <v>38</v>
      </c>
      <c r="D8" s="13"/>
    </row>
    <row r="9" spans="1:26" ht="28.8">
      <c r="A9" s="13">
        <v>2</v>
      </c>
      <c r="B9" s="14" t="s">
        <v>39</v>
      </c>
      <c r="C9" s="13" t="s">
        <v>38</v>
      </c>
      <c r="D9" s="13"/>
    </row>
    <row r="10" spans="1:26" ht="57.6">
      <c r="A10" s="13">
        <v>3</v>
      </c>
      <c r="B10" s="14" t="s">
        <v>40</v>
      </c>
      <c r="C10" s="13"/>
      <c r="D10" s="15" t="s">
        <v>38</v>
      </c>
    </row>
    <row r="11" spans="1:26" ht="28.8">
      <c r="A11" s="13">
        <v>4</v>
      </c>
      <c r="B11" s="14" t="s">
        <v>41</v>
      </c>
      <c r="C11" s="13" t="s">
        <v>38</v>
      </c>
      <c r="D11" s="13"/>
    </row>
    <row r="12" spans="1:26" ht="28.8">
      <c r="A12" s="13">
        <v>5</v>
      </c>
      <c r="B12" s="14" t="s">
        <v>42</v>
      </c>
      <c r="C12" s="13" t="s">
        <v>38</v>
      </c>
      <c r="D12" s="13"/>
    </row>
    <row r="13" spans="1:26" ht="28.8">
      <c r="A13" s="13">
        <v>6</v>
      </c>
      <c r="B13" s="14" t="s">
        <v>43</v>
      </c>
      <c r="C13" s="13" t="s">
        <v>38</v>
      </c>
      <c r="D13" s="13"/>
    </row>
    <row r="14" spans="1:26" ht="28.8">
      <c r="A14" s="13">
        <v>7</v>
      </c>
      <c r="B14" s="14" t="s">
        <v>44</v>
      </c>
      <c r="C14" s="13" t="s">
        <v>38</v>
      </c>
      <c r="D14" s="13"/>
    </row>
    <row r="15" spans="1:26" ht="43.2">
      <c r="A15" s="13">
        <v>8</v>
      </c>
      <c r="B15" s="14" t="s">
        <v>45</v>
      </c>
      <c r="C15" s="13" t="s">
        <v>38</v>
      </c>
      <c r="D15" s="13"/>
    </row>
    <row r="16" spans="1:26" ht="57.6">
      <c r="A16" s="13">
        <v>9</v>
      </c>
      <c r="B16" s="14" t="s">
        <v>46</v>
      </c>
      <c r="C16" s="40" t="s">
        <v>38</v>
      </c>
      <c r="D16" s="16"/>
    </row>
    <row r="17" spans="1:4" ht="18">
      <c r="A17" s="70" t="s">
        <v>47</v>
      </c>
      <c r="B17" s="69"/>
      <c r="C17" s="23">
        <v>8</v>
      </c>
      <c r="D17" s="23">
        <v>1</v>
      </c>
    </row>
    <row r="18" spans="1:4" ht="18">
      <c r="A18" s="70" t="s">
        <v>48</v>
      </c>
      <c r="B18" s="69"/>
      <c r="C18" s="17">
        <f t="shared" ref="C18:D18" si="0">C17/9</f>
        <v>0.88888888888888884</v>
      </c>
      <c r="D18" s="17">
        <f t="shared" si="0"/>
        <v>0.1111111111111111</v>
      </c>
    </row>
    <row r="19" spans="1:4" ht="14.25" customHeight="1">
      <c r="A19" s="18"/>
      <c r="B19" s="18"/>
      <c r="C19" s="19"/>
      <c r="D19" s="7"/>
    </row>
    <row r="20" spans="1:4" ht="23.4">
      <c r="A20" s="73" t="s">
        <v>49</v>
      </c>
      <c r="B20" s="74"/>
      <c r="C20" s="74"/>
      <c r="D20" s="69"/>
    </row>
    <row r="21" spans="1:4" ht="21">
      <c r="A21" s="20" t="s">
        <v>33</v>
      </c>
      <c r="B21" s="20" t="s">
        <v>34</v>
      </c>
      <c r="C21" s="21" t="s">
        <v>35</v>
      </c>
      <c r="D21" s="21" t="s">
        <v>36</v>
      </c>
    </row>
    <row r="22" spans="1:4" ht="28.8">
      <c r="A22" s="13">
        <v>1</v>
      </c>
      <c r="B22" s="14" t="s">
        <v>50</v>
      </c>
      <c r="C22" s="13" t="s">
        <v>38</v>
      </c>
      <c r="D22" s="13"/>
    </row>
    <row r="23" spans="1:4" ht="28.8">
      <c r="A23" s="13">
        <v>2</v>
      </c>
      <c r="B23" s="14" t="s">
        <v>51</v>
      </c>
      <c r="C23" s="13" t="s">
        <v>38</v>
      </c>
      <c r="D23" s="13"/>
    </row>
    <row r="24" spans="1:4" ht="28.8">
      <c r="A24" s="13">
        <v>3</v>
      </c>
      <c r="B24" s="14" t="s">
        <v>52</v>
      </c>
      <c r="C24" s="13" t="s">
        <v>38</v>
      </c>
      <c r="D24" s="13"/>
    </row>
    <row r="25" spans="1:4" ht="28.8">
      <c r="A25" s="13">
        <v>4</v>
      </c>
      <c r="B25" s="14" t="s">
        <v>53</v>
      </c>
      <c r="C25" s="13" t="s">
        <v>38</v>
      </c>
      <c r="D25" s="13"/>
    </row>
    <row r="26" spans="1:4" ht="14.4">
      <c r="A26" s="13">
        <v>5</v>
      </c>
      <c r="B26" s="14" t="s">
        <v>54</v>
      </c>
      <c r="C26" s="13" t="s">
        <v>38</v>
      </c>
      <c r="D26" s="13"/>
    </row>
    <row r="27" spans="1:4" ht="18">
      <c r="A27" s="70" t="s">
        <v>47</v>
      </c>
      <c r="B27" s="69"/>
      <c r="C27" s="2">
        <v>5</v>
      </c>
      <c r="D27" s="2">
        <v>0</v>
      </c>
    </row>
    <row r="28" spans="1:4" ht="18">
      <c r="A28" s="70" t="s">
        <v>48</v>
      </c>
      <c r="B28" s="69"/>
      <c r="C28" s="17">
        <f t="shared" ref="C28:D28" si="1">C27/5</f>
        <v>1</v>
      </c>
      <c r="D28" s="17">
        <f t="shared" si="1"/>
        <v>0</v>
      </c>
    </row>
    <row r="29" spans="1:4" ht="14.25" customHeight="1">
      <c r="A29" s="18"/>
      <c r="B29" s="18"/>
      <c r="C29" s="19"/>
      <c r="D29" s="7"/>
    </row>
    <row r="30" spans="1:4" ht="23.4">
      <c r="A30" s="73" t="s">
        <v>55</v>
      </c>
      <c r="B30" s="74"/>
      <c r="C30" s="74"/>
      <c r="D30" s="69"/>
    </row>
    <row r="31" spans="1:4" ht="21">
      <c r="A31" s="20" t="s">
        <v>33</v>
      </c>
      <c r="B31" s="20" t="s">
        <v>34</v>
      </c>
      <c r="C31" s="21" t="s">
        <v>35</v>
      </c>
      <c r="D31" s="21" t="s">
        <v>36</v>
      </c>
    </row>
    <row r="32" spans="1:4" ht="28.8">
      <c r="A32" s="13">
        <v>1</v>
      </c>
      <c r="B32" s="14" t="s">
        <v>56</v>
      </c>
      <c r="C32" s="13" t="s">
        <v>38</v>
      </c>
      <c r="D32" s="13"/>
    </row>
    <row r="33" spans="1:4" ht="28.8">
      <c r="A33" s="13">
        <v>2</v>
      </c>
      <c r="B33" s="14" t="s">
        <v>57</v>
      </c>
      <c r="C33" s="13" t="s">
        <v>38</v>
      </c>
      <c r="D33" s="13"/>
    </row>
    <row r="34" spans="1:4" ht="43.2">
      <c r="A34" s="13">
        <v>3</v>
      </c>
      <c r="B34" s="14" t="s">
        <v>58</v>
      </c>
      <c r="C34" s="40" t="s">
        <v>38</v>
      </c>
      <c r="D34" s="40"/>
    </row>
    <row r="35" spans="1:4" ht="18">
      <c r="A35" s="70" t="s">
        <v>47</v>
      </c>
      <c r="B35" s="69"/>
      <c r="C35" s="2">
        <v>3</v>
      </c>
      <c r="D35" s="2">
        <v>0</v>
      </c>
    </row>
    <row r="36" spans="1:4" ht="18">
      <c r="A36" s="70" t="s">
        <v>48</v>
      </c>
      <c r="B36" s="69"/>
      <c r="C36" s="17">
        <f t="shared" ref="C36:D36" si="2">C35/3</f>
        <v>1</v>
      </c>
      <c r="D36" s="17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B40" s="71" t="s">
        <v>59</v>
      </c>
      <c r="C40" s="69"/>
      <c r="D40" s="24"/>
    </row>
    <row r="41" spans="1:4" ht="30" customHeight="1">
      <c r="B41" s="22" t="s">
        <v>60</v>
      </c>
      <c r="C41" s="23">
        <v>89</v>
      </c>
      <c r="D41" s="25"/>
    </row>
    <row r="42" spans="1:4" ht="30" customHeight="1">
      <c r="B42" s="22" t="s">
        <v>49</v>
      </c>
      <c r="C42" s="23">
        <v>100</v>
      </c>
      <c r="D42" s="25"/>
    </row>
    <row r="43" spans="1:4" ht="30" customHeight="1">
      <c r="B43" s="22" t="s">
        <v>55</v>
      </c>
      <c r="C43" s="2">
        <v>100</v>
      </c>
      <c r="D43" s="7"/>
    </row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B1"/>
    <mergeCell ref="C1:D1"/>
    <mergeCell ref="A2:B2"/>
    <mergeCell ref="C2:D2"/>
    <mergeCell ref="A3:B3"/>
    <mergeCell ref="C3:D3"/>
    <mergeCell ref="A4:B4"/>
    <mergeCell ref="A28:B28"/>
    <mergeCell ref="A35:B35"/>
    <mergeCell ref="A36:B36"/>
    <mergeCell ref="B40:C40"/>
    <mergeCell ref="C4:D4"/>
    <mergeCell ref="A6:D6"/>
    <mergeCell ref="A17:B17"/>
    <mergeCell ref="A18:B18"/>
    <mergeCell ref="A20:D20"/>
    <mergeCell ref="A27:B27"/>
    <mergeCell ref="A30:D30"/>
  </mergeCells>
  <conditionalFormatting sqref="A32:D34 F32:I34 K32:N34">
    <cfRule type="containsText" dxfId="23" priority="1" operator="containsText" text="X">
      <formula>NOT(ISERROR(SEARCH(("X"),(A32))))</formula>
    </cfRule>
  </conditionalFormatting>
  <conditionalFormatting sqref="C8:D16 H8:I16 M8:N16 C22:C26 H22:H26 M22:M26 C32:D34 H32:I34 M32:N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 H22:I26 M22:N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H32:I34 M32:N34 C8:D16 H8:I16 M8:N16 C22:C26 H22:H26 M22:M26">
    <cfRule type="containsText" dxfId="17" priority="2" operator="containsText" text="X">
      <formula>NOT(ISERROR(SEARCH(("X"),(C8))))</formula>
    </cfRule>
  </conditionalFormatting>
  <conditionalFormatting sqref="C32:D34 H32:I34 M32:N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96CD-A471-43D9-A5C3-07E2C63F14C7}">
  <dimension ref="A1:Z1000"/>
  <sheetViews>
    <sheetView workbookViewId="0">
      <selection activeCell="C4" sqref="C4:D4"/>
    </sheetView>
  </sheetViews>
  <sheetFormatPr baseColWidth="10" defaultColWidth="14.44140625" defaultRowHeight="15" customHeight="1"/>
  <cols>
    <col min="1" max="1" width="10.77734375" style="26" customWidth="1"/>
    <col min="2" max="2" width="36.77734375" style="26" customWidth="1"/>
    <col min="3" max="3" width="16.109375" style="26" customWidth="1"/>
    <col min="4" max="4" width="22" style="26" customWidth="1"/>
    <col min="5" max="6" width="10.77734375" style="26" customWidth="1"/>
    <col min="7" max="7" width="36.77734375" style="26" customWidth="1"/>
    <col min="8" max="8" width="20.5546875" style="26" customWidth="1"/>
    <col min="9" max="9" width="21.77734375" style="26" customWidth="1"/>
    <col min="10" max="11" width="10.77734375" style="26" customWidth="1"/>
    <col min="12" max="12" width="36.77734375" style="26" customWidth="1"/>
    <col min="13" max="13" width="20.5546875" style="26" customWidth="1"/>
    <col min="14" max="14" width="21.5546875" style="26" customWidth="1"/>
    <col min="15" max="24" width="10.77734375" style="26" customWidth="1"/>
    <col min="25" max="16384" width="14.44140625" style="26"/>
  </cols>
  <sheetData>
    <row r="1" spans="1:26" ht="18">
      <c r="A1" s="75" t="s">
        <v>1</v>
      </c>
      <c r="B1" s="69"/>
      <c r="C1" s="76" t="s">
        <v>2</v>
      </c>
      <c r="D1" s="69"/>
      <c r="E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>
      <c r="A2" s="68" t="s">
        <v>28</v>
      </c>
      <c r="B2" s="69"/>
      <c r="C2" s="77">
        <v>46155</v>
      </c>
      <c r="D2" s="69"/>
    </row>
    <row r="3" spans="1:26" ht="18">
      <c r="A3" s="68" t="s">
        <v>29</v>
      </c>
      <c r="B3" s="69"/>
      <c r="C3" s="72" t="s">
        <v>111</v>
      </c>
      <c r="D3" s="69"/>
    </row>
    <row r="4" spans="1:26" ht="18">
      <c r="A4" s="68" t="s">
        <v>31</v>
      </c>
      <c r="B4" s="69"/>
      <c r="C4" s="72" t="s">
        <v>109</v>
      </c>
      <c r="D4" s="69"/>
    </row>
    <row r="5" spans="1:26" ht="14.25" customHeight="1"/>
    <row r="6" spans="1:26" ht="23.4">
      <c r="A6" s="73" t="s">
        <v>32</v>
      </c>
      <c r="B6" s="74"/>
      <c r="C6" s="74"/>
      <c r="D6" s="69"/>
    </row>
    <row r="7" spans="1:26" ht="18">
      <c r="A7" s="12" t="s">
        <v>33</v>
      </c>
      <c r="B7" s="12" t="s">
        <v>34</v>
      </c>
      <c r="C7" s="12" t="s">
        <v>35</v>
      </c>
      <c r="D7" s="12" t="s">
        <v>36</v>
      </c>
    </row>
    <row r="8" spans="1:26" ht="28.8">
      <c r="A8" s="16">
        <v>1</v>
      </c>
      <c r="B8" s="14" t="s">
        <v>37</v>
      </c>
      <c r="C8" s="16" t="s">
        <v>38</v>
      </c>
      <c r="D8" s="16"/>
    </row>
    <row r="9" spans="1:26" ht="28.8">
      <c r="A9" s="16">
        <v>2</v>
      </c>
      <c r="B9" s="14" t="s">
        <v>39</v>
      </c>
      <c r="C9" s="16" t="s">
        <v>38</v>
      </c>
      <c r="D9" s="16"/>
    </row>
    <row r="10" spans="1:26" ht="57.6">
      <c r="A10" s="16">
        <v>3</v>
      </c>
      <c r="B10" s="14" t="s">
        <v>40</v>
      </c>
      <c r="C10" s="16"/>
      <c r="D10" s="15" t="s">
        <v>38</v>
      </c>
    </row>
    <row r="11" spans="1:26" ht="28.8">
      <c r="A11" s="16">
        <v>4</v>
      </c>
      <c r="B11" s="14" t="s">
        <v>41</v>
      </c>
      <c r="C11" s="16" t="s">
        <v>38</v>
      </c>
      <c r="D11" s="16"/>
    </row>
    <row r="12" spans="1:26" ht="28.8">
      <c r="A12" s="16">
        <v>5</v>
      </c>
      <c r="B12" s="14" t="s">
        <v>42</v>
      </c>
      <c r="C12" s="16" t="s">
        <v>38</v>
      </c>
      <c r="D12" s="16"/>
    </row>
    <row r="13" spans="1:26" ht="28.8">
      <c r="A13" s="16">
        <v>6</v>
      </c>
      <c r="B13" s="14" t="s">
        <v>43</v>
      </c>
      <c r="C13" s="16" t="s">
        <v>38</v>
      </c>
      <c r="D13" s="16"/>
    </row>
    <row r="14" spans="1:26" ht="28.8">
      <c r="A14" s="16">
        <v>7</v>
      </c>
      <c r="B14" s="14" t="s">
        <v>44</v>
      </c>
      <c r="C14" s="16" t="s">
        <v>38</v>
      </c>
      <c r="D14" s="16"/>
    </row>
    <row r="15" spans="1:26" ht="43.2">
      <c r="A15" s="16">
        <v>8</v>
      </c>
      <c r="B15" s="14" t="s">
        <v>45</v>
      </c>
      <c r="C15" s="16"/>
      <c r="D15" s="40" t="s">
        <v>38</v>
      </c>
    </row>
    <row r="16" spans="1:26" ht="57.6">
      <c r="A16" s="16">
        <v>9</v>
      </c>
      <c r="B16" s="14" t="s">
        <v>46</v>
      </c>
      <c r="C16" s="40" t="s">
        <v>38</v>
      </c>
      <c r="D16" s="16"/>
    </row>
    <row r="17" spans="1:4" ht="18">
      <c r="A17" s="70" t="s">
        <v>47</v>
      </c>
      <c r="B17" s="69"/>
      <c r="C17" s="23">
        <v>7</v>
      </c>
      <c r="D17" s="23">
        <v>2</v>
      </c>
    </row>
    <row r="18" spans="1:4" ht="18">
      <c r="A18" s="70" t="s">
        <v>48</v>
      </c>
      <c r="B18" s="69"/>
      <c r="C18" s="17">
        <f t="shared" ref="C18:D18" si="0">C17/9</f>
        <v>0.77777777777777779</v>
      </c>
      <c r="D18" s="17">
        <f t="shared" si="0"/>
        <v>0.22222222222222221</v>
      </c>
    </row>
    <row r="19" spans="1:4" ht="14.25" customHeight="1">
      <c r="A19" s="18"/>
      <c r="B19" s="18"/>
      <c r="C19" s="19"/>
      <c r="D19" s="7"/>
    </row>
    <row r="20" spans="1:4" ht="23.4">
      <c r="A20" s="73" t="s">
        <v>49</v>
      </c>
      <c r="B20" s="74"/>
      <c r="C20" s="74"/>
      <c r="D20" s="69"/>
    </row>
    <row r="21" spans="1:4" ht="21">
      <c r="A21" s="20" t="s">
        <v>33</v>
      </c>
      <c r="B21" s="20" t="s">
        <v>34</v>
      </c>
      <c r="C21" s="21" t="s">
        <v>35</v>
      </c>
      <c r="D21" s="21" t="s">
        <v>36</v>
      </c>
    </row>
    <row r="22" spans="1:4" ht="28.8">
      <c r="A22" s="16">
        <v>1</v>
      </c>
      <c r="B22" s="14" t="s">
        <v>50</v>
      </c>
      <c r="C22" s="16" t="s">
        <v>38</v>
      </c>
      <c r="D22" s="16"/>
    </row>
    <row r="23" spans="1:4" ht="28.8">
      <c r="A23" s="16">
        <v>2</v>
      </c>
      <c r="B23" s="14" t="s">
        <v>51</v>
      </c>
      <c r="C23" s="16" t="s">
        <v>38</v>
      </c>
      <c r="D23" s="16"/>
    </row>
    <row r="24" spans="1:4" ht="28.8">
      <c r="A24" s="16">
        <v>3</v>
      </c>
      <c r="B24" s="14" t="s">
        <v>52</v>
      </c>
      <c r="C24" s="16" t="s">
        <v>38</v>
      </c>
      <c r="D24" s="16"/>
    </row>
    <row r="25" spans="1:4" ht="28.8">
      <c r="A25" s="16">
        <v>4</v>
      </c>
      <c r="B25" s="14" t="s">
        <v>53</v>
      </c>
      <c r="C25" s="16"/>
      <c r="D25" s="40" t="s">
        <v>38</v>
      </c>
    </row>
    <row r="26" spans="1:4" ht="14.4">
      <c r="A26" s="16">
        <v>5</v>
      </c>
      <c r="B26" s="14" t="s">
        <v>54</v>
      </c>
      <c r="C26" s="16" t="s">
        <v>38</v>
      </c>
      <c r="D26" s="16"/>
    </row>
    <row r="27" spans="1:4" ht="18">
      <c r="A27" s="70" t="s">
        <v>47</v>
      </c>
      <c r="B27" s="69"/>
      <c r="C27" s="2">
        <v>4</v>
      </c>
      <c r="D27" s="2">
        <v>0</v>
      </c>
    </row>
    <row r="28" spans="1:4" ht="18">
      <c r="A28" s="70" t="s">
        <v>48</v>
      </c>
      <c r="B28" s="69"/>
      <c r="C28" s="17">
        <f t="shared" ref="C28:D28" si="1">C27/5</f>
        <v>0.8</v>
      </c>
      <c r="D28" s="17">
        <f t="shared" si="1"/>
        <v>0</v>
      </c>
    </row>
    <row r="29" spans="1:4" ht="14.25" customHeight="1">
      <c r="A29" s="18"/>
      <c r="B29" s="18"/>
      <c r="C29" s="19"/>
      <c r="D29" s="7"/>
    </row>
    <row r="30" spans="1:4" ht="23.4">
      <c r="A30" s="73" t="s">
        <v>55</v>
      </c>
      <c r="B30" s="74"/>
      <c r="C30" s="74"/>
      <c r="D30" s="69"/>
    </row>
    <row r="31" spans="1:4" ht="21">
      <c r="A31" s="20" t="s">
        <v>33</v>
      </c>
      <c r="B31" s="20" t="s">
        <v>34</v>
      </c>
      <c r="C31" s="21" t="s">
        <v>35</v>
      </c>
      <c r="D31" s="21" t="s">
        <v>36</v>
      </c>
    </row>
    <row r="32" spans="1:4" ht="28.8">
      <c r="A32" s="16">
        <v>1</v>
      </c>
      <c r="B32" s="14" t="s">
        <v>56</v>
      </c>
      <c r="C32" s="16" t="s">
        <v>38</v>
      </c>
      <c r="D32" s="16"/>
    </row>
    <row r="33" spans="1:4" ht="28.8">
      <c r="A33" s="16">
        <v>2</v>
      </c>
      <c r="B33" s="14" t="s">
        <v>57</v>
      </c>
      <c r="C33" s="16" t="s">
        <v>38</v>
      </c>
      <c r="D33" s="16"/>
    </row>
    <row r="34" spans="1:4" ht="43.2">
      <c r="A34" s="16">
        <v>3</v>
      </c>
      <c r="B34" s="14" t="s">
        <v>58</v>
      </c>
      <c r="C34" s="40"/>
      <c r="D34" s="40" t="s">
        <v>38</v>
      </c>
    </row>
    <row r="35" spans="1:4" ht="18">
      <c r="A35" s="70" t="s">
        <v>47</v>
      </c>
      <c r="B35" s="69"/>
      <c r="C35" s="2">
        <v>2</v>
      </c>
      <c r="D35" s="2">
        <v>0</v>
      </c>
    </row>
    <row r="36" spans="1:4" ht="18">
      <c r="A36" s="70" t="s">
        <v>48</v>
      </c>
      <c r="B36" s="69"/>
      <c r="C36" s="17">
        <f t="shared" ref="C36:D36" si="2">C35/3</f>
        <v>0.66666666666666663</v>
      </c>
      <c r="D36" s="17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B40" s="71" t="s">
        <v>59</v>
      </c>
      <c r="C40" s="69"/>
      <c r="D40" s="24"/>
    </row>
    <row r="41" spans="1:4" ht="30" customHeight="1">
      <c r="B41" s="22" t="s">
        <v>60</v>
      </c>
      <c r="C41" s="23">
        <v>78</v>
      </c>
      <c r="D41" s="25"/>
    </row>
    <row r="42" spans="1:4" ht="30" customHeight="1">
      <c r="B42" s="22" t="s">
        <v>49</v>
      </c>
      <c r="C42" s="23">
        <v>80</v>
      </c>
      <c r="D42" s="25"/>
    </row>
    <row r="43" spans="1:4" ht="30" customHeight="1">
      <c r="B43" s="22" t="s">
        <v>55</v>
      </c>
      <c r="C43" s="2">
        <v>67</v>
      </c>
      <c r="D43" s="7"/>
    </row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40:C40"/>
    <mergeCell ref="A4:B4"/>
    <mergeCell ref="C4:D4"/>
    <mergeCell ref="A6:D6"/>
    <mergeCell ref="A17:B17"/>
    <mergeCell ref="A18:B18"/>
    <mergeCell ref="A20:D20"/>
    <mergeCell ref="A27:B27"/>
    <mergeCell ref="A28:B28"/>
    <mergeCell ref="A30:D30"/>
    <mergeCell ref="A35:B35"/>
    <mergeCell ref="A36:B36"/>
    <mergeCell ref="A1:B1"/>
    <mergeCell ref="C1:D1"/>
    <mergeCell ref="A2:B2"/>
    <mergeCell ref="C2:D2"/>
    <mergeCell ref="A3:B3"/>
    <mergeCell ref="C3:D3"/>
  </mergeCells>
  <conditionalFormatting sqref="A32:D34 F32:I34 K32:N34">
    <cfRule type="containsText" dxfId="15" priority="1" operator="containsText" text="X">
      <formula>NOT(ISERROR(SEARCH(("X"),(A32))))</formula>
    </cfRule>
  </conditionalFormatting>
  <conditionalFormatting sqref="C8:D16 H8:I16 M8:N16 C22:C26 H22:H26 M22:M26 C32:D34 H32:I34 M32:N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 H22:I26 M22:N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H32:I34 M32:N34 C8:D16 H8:I16 M8:N16 C22:C26 H22:H26 M22:M26">
    <cfRule type="containsText" dxfId="9" priority="2" operator="containsText" text="X">
      <formula>NOT(ISERROR(SEARCH(("X"),(C8))))</formula>
    </cfRule>
  </conditionalFormatting>
  <conditionalFormatting sqref="C32:D34 H32:I34 M32:N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7051-0B1C-42B5-8B8D-3F83D0175CC4}">
  <dimension ref="A1:Z1000"/>
  <sheetViews>
    <sheetView workbookViewId="0">
      <selection activeCell="C3" sqref="C3:D3"/>
    </sheetView>
  </sheetViews>
  <sheetFormatPr baseColWidth="10" defaultColWidth="14.44140625" defaultRowHeight="15" customHeight="1"/>
  <cols>
    <col min="1" max="1" width="10.77734375" style="26" customWidth="1"/>
    <col min="2" max="2" width="36.77734375" style="26" customWidth="1"/>
    <col min="3" max="3" width="23" style="26" customWidth="1"/>
    <col min="4" max="4" width="20.6640625" style="26" customWidth="1"/>
    <col min="5" max="6" width="10.77734375" style="26" customWidth="1"/>
    <col min="7" max="7" width="36.77734375" style="26" customWidth="1"/>
    <col min="8" max="8" width="20.5546875" style="26" customWidth="1"/>
    <col min="9" max="9" width="21.77734375" style="26" customWidth="1"/>
    <col min="10" max="11" width="10.77734375" style="26" customWidth="1"/>
    <col min="12" max="12" width="36.77734375" style="26" customWidth="1"/>
    <col min="13" max="13" width="20.5546875" style="26" customWidth="1"/>
    <col min="14" max="14" width="21.5546875" style="26" customWidth="1"/>
    <col min="15" max="24" width="10.77734375" style="26" customWidth="1"/>
    <col min="25" max="16384" width="14.44140625" style="26"/>
  </cols>
  <sheetData>
    <row r="1" spans="1:26" ht="18">
      <c r="A1" s="75" t="s">
        <v>1</v>
      </c>
      <c r="B1" s="69"/>
      <c r="C1" s="76" t="s">
        <v>2</v>
      </c>
      <c r="D1" s="69"/>
      <c r="E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>
      <c r="A2" s="68" t="s">
        <v>28</v>
      </c>
      <c r="B2" s="69"/>
      <c r="C2" s="77">
        <v>46155</v>
      </c>
      <c r="D2" s="69"/>
    </row>
    <row r="3" spans="1:26" ht="18">
      <c r="A3" s="68" t="s">
        <v>29</v>
      </c>
      <c r="B3" s="69"/>
      <c r="C3" s="72" t="s">
        <v>111</v>
      </c>
      <c r="D3" s="69"/>
    </row>
    <row r="4" spans="1:26" ht="18">
      <c r="A4" s="68" t="s">
        <v>31</v>
      </c>
      <c r="B4" s="69"/>
      <c r="C4" s="72" t="s">
        <v>110</v>
      </c>
      <c r="D4" s="69"/>
    </row>
    <row r="5" spans="1:26" ht="14.25" customHeight="1"/>
    <row r="6" spans="1:26" ht="23.4">
      <c r="A6" s="73" t="s">
        <v>32</v>
      </c>
      <c r="B6" s="74"/>
      <c r="C6" s="74"/>
      <c r="D6" s="69"/>
    </row>
    <row r="7" spans="1:26" ht="18">
      <c r="A7" s="12" t="s">
        <v>33</v>
      </c>
      <c r="B7" s="12" t="s">
        <v>34</v>
      </c>
      <c r="C7" s="12" t="s">
        <v>35</v>
      </c>
      <c r="D7" s="12" t="s">
        <v>36</v>
      </c>
    </row>
    <row r="8" spans="1:26" ht="28.8">
      <c r="A8" s="16">
        <v>1</v>
      </c>
      <c r="B8" s="14" t="s">
        <v>37</v>
      </c>
      <c r="C8" s="16" t="s">
        <v>38</v>
      </c>
      <c r="D8" s="16"/>
    </row>
    <row r="9" spans="1:26" ht="28.8">
      <c r="A9" s="16">
        <v>2</v>
      </c>
      <c r="B9" s="14" t="s">
        <v>39</v>
      </c>
      <c r="C9" s="16" t="s">
        <v>38</v>
      </c>
      <c r="D9" s="16"/>
    </row>
    <row r="10" spans="1:26" ht="57.6">
      <c r="A10" s="16">
        <v>3</v>
      </c>
      <c r="B10" s="14" t="s">
        <v>40</v>
      </c>
      <c r="C10" s="16"/>
      <c r="D10" s="15" t="s">
        <v>38</v>
      </c>
    </row>
    <row r="11" spans="1:26" ht="28.8">
      <c r="A11" s="16">
        <v>4</v>
      </c>
      <c r="B11" s="14" t="s">
        <v>41</v>
      </c>
      <c r="C11" s="16" t="s">
        <v>38</v>
      </c>
      <c r="D11" s="16"/>
    </row>
    <row r="12" spans="1:26" ht="28.8">
      <c r="A12" s="16">
        <v>5</v>
      </c>
      <c r="B12" s="14" t="s">
        <v>42</v>
      </c>
      <c r="C12" s="16" t="s">
        <v>38</v>
      </c>
      <c r="D12" s="16"/>
    </row>
    <row r="13" spans="1:26" ht="28.8">
      <c r="A13" s="16">
        <v>6</v>
      </c>
      <c r="B13" s="14" t="s">
        <v>43</v>
      </c>
      <c r="C13" s="16" t="s">
        <v>38</v>
      </c>
      <c r="D13" s="16"/>
    </row>
    <row r="14" spans="1:26" ht="28.8">
      <c r="A14" s="16">
        <v>7</v>
      </c>
      <c r="B14" s="14" t="s">
        <v>44</v>
      </c>
      <c r="C14" s="16" t="s">
        <v>38</v>
      </c>
      <c r="D14" s="16"/>
    </row>
    <row r="15" spans="1:26" ht="43.2">
      <c r="A15" s="16">
        <v>8</v>
      </c>
      <c r="B15" s="14" t="s">
        <v>45</v>
      </c>
      <c r="C15" s="40" t="s">
        <v>38</v>
      </c>
      <c r="D15" s="40"/>
    </row>
    <row r="16" spans="1:26" ht="57.6">
      <c r="A16" s="16">
        <v>9</v>
      </c>
      <c r="B16" s="14" t="s">
        <v>46</v>
      </c>
      <c r="C16" s="40" t="s">
        <v>38</v>
      </c>
      <c r="D16" s="16"/>
    </row>
    <row r="17" spans="1:4" ht="18">
      <c r="A17" s="70" t="s">
        <v>47</v>
      </c>
      <c r="B17" s="69"/>
      <c r="C17" s="23">
        <v>8</v>
      </c>
      <c r="D17" s="23">
        <v>1</v>
      </c>
    </row>
    <row r="18" spans="1:4" ht="18">
      <c r="A18" s="70" t="s">
        <v>48</v>
      </c>
      <c r="B18" s="69"/>
      <c r="C18" s="17">
        <f t="shared" ref="C18:D18" si="0">C17/9</f>
        <v>0.88888888888888884</v>
      </c>
      <c r="D18" s="17">
        <f t="shared" si="0"/>
        <v>0.1111111111111111</v>
      </c>
    </row>
    <row r="19" spans="1:4" ht="14.25" customHeight="1">
      <c r="A19" s="18"/>
      <c r="B19" s="18"/>
      <c r="C19" s="19"/>
      <c r="D19" s="7"/>
    </row>
    <row r="20" spans="1:4" ht="23.4">
      <c r="A20" s="73" t="s">
        <v>49</v>
      </c>
      <c r="B20" s="74"/>
      <c r="C20" s="74"/>
      <c r="D20" s="69"/>
    </row>
    <row r="21" spans="1:4" ht="21">
      <c r="A21" s="20" t="s">
        <v>33</v>
      </c>
      <c r="B21" s="20" t="s">
        <v>34</v>
      </c>
      <c r="C21" s="21" t="s">
        <v>35</v>
      </c>
      <c r="D21" s="21" t="s">
        <v>36</v>
      </c>
    </row>
    <row r="22" spans="1:4" ht="28.8">
      <c r="A22" s="16">
        <v>1</v>
      </c>
      <c r="B22" s="14" t="s">
        <v>50</v>
      </c>
      <c r="C22" s="16" t="s">
        <v>38</v>
      </c>
      <c r="D22" s="16"/>
    </row>
    <row r="23" spans="1:4" ht="28.8">
      <c r="A23" s="16">
        <v>2</v>
      </c>
      <c r="B23" s="14" t="s">
        <v>51</v>
      </c>
      <c r="C23" s="16" t="s">
        <v>38</v>
      </c>
      <c r="D23" s="16"/>
    </row>
    <row r="24" spans="1:4" ht="28.8">
      <c r="A24" s="16">
        <v>3</v>
      </c>
      <c r="B24" s="14" t="s">
        <v>52</v>
      </c>
      <c r="C24" s="16" t="s">
        <v>38</v>
      </c>
      <c r="D24" s="16"/>
    </row>
    <row r="25" spans="1:4" ht="28.8">
      <c r="A25" s="16">
        <v>4</v>
      </c>
      <c r="B25" s="14" t="s">
        <v>53</v>
      </c>
      <c r="C25" s="40" t="s">
        <v>38</v>
      </c>
      <c r="D25" s="40"/>
    </row>
    <row r="26" spans="1:4" ht="14.4">
      <c r="A26" s="16">
        <v>5</v>
      </c>
      <c r="B26" s="14" t="s">
        <v>54</v>
      </c>
      <c r="C26" s="16" t="s">
        <v>38</v>
      </c>
      <c r="D26" s="16"/>
    </row>
    <row r="27" spans="1:4" ht="18">
      <c r="A27" s="70" t="s">
        <v>47</v>
      </c>
      <c r="B27" s="69"/>
      <c r="C27" s="2">
        <v>5</v>
      </c>
      <c r="D27" s="2">
        <v>0</v>
      </c>
    </row>
    <row r="28" spans="1:4" ht="18">
      <c r="A28" s="70" t="s">
        <v>48</v>
      </c>
      <c r="B28" s="69"/>
      <c r="C28" s="17">
        <f t="shared" ref="C28:D28" si="1">C27/5</f>
        <v>1</v>
      </c>
      <c r="D28" s="17">
        <f t="shared" si="1"/>
        <v>0</v>
      </c>
    </row>
    <row r="29" spans="1:4" ht="14.25" customHeight="1">
      <c r="A29" s="18"/>
      <c r="B29" s="18"/>
      <c r="C29" s="19"/>
      <c r="D29" s="7"/>
    </row>
    <row r="30" spans="1:4" ht="23.4">
      <c r="A30" s="73" t="s">
        <v>55</v>
      </c>
      <c r="B30" s="74"/>
      <c r="C30" s="74"/>
      <c r="D30" s="69"/>
    </row>
    <row r="31" spans="1:4" ht="21">
      <c r="A31" s="20" t="s">
        <v>33</v>
      </c>
      <c r="B31" s="20" t="s">
        <v>34</v>
      </c>
      <c r="C31" s="21" t="s">
        <v>35</v>
      </c>
      <c r="D31" s="21" t="s">
        <v>36</v>
      </c>
    </row>
    <row r="32" spans="1:4" ht="28.8">
      <c r="A32" s="16">
        <v>1</v>
      </c>
      <c r="B32" s="14" t="s">
        <v>56</v>
      </c>
      <c r="C32" s="16" t="s">
        <v>38</v>
      </c>
      <c r="D32" s="16"/>
    </row>
    <row r="33" spans="1:4" ht="28.8">
      <c r="A33" s="16">
        <v>2</v>
      </c>
      <c r="B33" s="14" t="s">
        <v>57</v>
      </c>
      <c r="C33" s="16" t="s">
        <v>38</v>
      </c>
      <c r="D33" s="16"/>
    </row>
    <row r="34" spans="1:4" ht="43.2">
      <c r="A34" s="16">
        <v>3</v>
      </c>
      <c r="B34" s="14" t="s">
        <v>58</v>
      </c>
      <c r="C34" s="40" t="s">
        <v>38</v>
      </c>
      <c r="D34" s="40"/>
    </row>
    <row r="35" spans="1:4" ht="18">
      <c r="A35" s="70" t="s">
        <v>47</v>
      </c>
      <c r="B35" s="69"/>
      <c r="C35" s="2">
        <v>3</v>
      </c>
      <c r="D35" s="2">
        <v>0</v>
      </c>
    </row>
    <row r="36" spans="1:4" ht="18">
      <c r="A36" s="70" t="s">
        <v>48</v>
      </c>
      <c r="B36" s="69"/>
      <c r="C36" s="17">
        <f t="shared" ref="C36:D36" si="2">C35/3</f>
        <v>1</v>
      </c>
      <c r="D36" s="17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B40" s="71" t="s">
        <v>59</v>
      </c>
      <c r="C40" s="69"/>
      <c r="D40" s="24"/>
    </row>
    <row r="41" spans="1:4" ht="30" customHeight="1">
      <c r="B41" s="22" t="s">
        <v>60</v>
      </c>
      <c r="C41" s="23">
        <v>89</v>
      </c>
      <c r="D41" s="25"/>
    </row>
    <row r="42" spans="1:4" ht="30" customHeight="1">
      <c r="B42" s="22" t="s">
        <v>49</v>
      </c>
      <c r="C42" s="23">
        <v>100</v>
      </c>
      <c r="D42" s="25"/>
    </row>
    <row r="43" spans="1:4" ht="30" customHeight="1">
      <c r="B43" s="22" t="s">
        <v>55</v>
      </c>
      <c r="C43" s="2">
        <v>100</v>
      </c>
      <c r="D43" s="7"/>
    </row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40:C40"/>
    <mergeCell ref="A4:B4"/>
    <mergeCell ref="C4:D4"/>
    <mergeCell ref="A6:D6"/>
    <mergeCell ref="A17:B17"/>
    <mergeCell ref="A18:B18"/>
    <mergeCell ref="A20:D20"/>
    <mergeCell ref="A27:B27"/>
    <mergeCell ref="A28:B28"/>
    <mergeCell ref="A30:D30"/>
    <mergeCell ref="A35:B35"/>
    <mergeCell ref="A36:B36"/>
    <mergeCell ref="A1:B1"/>
    <mergeCell ref="C1:D1"/>
    <mergeCell ref="A2:B2"/>
    <mergeCell ref="C2:D2"/>
    <mergeCell ref="A3:B3"/>
    <mergeCell ref="C3:D3"/>
  </mergeCells>
  <conditionalFormatting sqref="A32:D34 F32:I34 K32:N34">
    <cfRule type="containsText" dxfId="7" priority="1" operator="containsText" text="X">
      <formula>NOT(ISERROR(SEARCH(("X"),(A32))))</formula>
    </cfRule>
  </conditionalFormatting>
  <conditionalFormatting sqref="C8:D16 H8:I16 M8:N16 C22:C26 H22:H26 M22:M26 C32:D34 H32:I34 M32:N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 H22:I26 M22:N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H32:I34 M32:N34 C8:D16 H8:I16 M8:N16 C22:C26 H22:H26 M22:M26">
    <cfRule type="containsText" dxfId="1" priority="2" operator="containsText" text="X">
      <formula>NOT(ISERROR(SEARCH(("X"),(C8))))</formula>
    </cfRule>
  </conditionalFormatting>
  <conditionalFormatting sqref="C32:D34 H32:I34 M32:N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tabSelected="1" workbookViewId="0">
      <selection activeCell="A28" sqref="A28"/>
    </sheetView>
  </sheetViews>
  <sheetFormatPr baseColWidth="10" defaultColWidth="14.44140625" defaultRowHeight="15" customHeight="1"/>
  <cols>
    <col min="1" max="1" width="53.109375" customWidth="1"/>
    <col min="2" max="2" width="57.21875" customWidth="1"/>
    <col min="3" max="3" width="9.109375" customWidth="1"/>
    <col min="4" max="4" width="6.77734375" customWidth="1"/>
    <col min="5" max="5" width="7.109375" customWidth="1"/>
    <col min="6" max="6" width="7.21875" customWidth="1"/>
    <col min="7" max="7" width="7.109375" customWidth="1"/>
    <col min="8" max="8" width="9.44140625" customWidth="1"/>
    <col min="9" max="9" width="8.5546875" customWidth="1"/>
    <col min="10" max="10" width="13.5546875" customWidth="1"/>
  </cols>
  <sheetData>
    <row r="1" spans="1:7" ht="14.25" customHeight="1">
      <c r="B1" s="79"/>
      <c r="C1" s="45"/>
      <c r="D1" s="45"/>
      <c r="E1" s="45"/>
      <c r="F1" s="45"/>
      <c r="G1" s="45"/>
    </row>
    <row r="2" spans="1:7" ht="14.25" customHeight="1">
      <c r="A2" s="82" t="s">
        <v>68</v>
      </c>
      <c r="B2" s="82"/>
      <c r="C2" s="45"/>
      <c r="D2" s="45"/>
      <c r="E2" s="45"/>
      <c r="F2" s="45"/>
      <c r="G2" s="45"/>
    </row>
    <row r="3" spans="1:7" ht="15.6">
      <c r="A3" s="80" t="s">
        <v>62</v>
      </c>
      <c r="B3" s="80" t="s">
        <v>63</v>
      </c>
      <c r="C3" s="45"/>
      <c r="D3" s="45"/>
      <c r="E3" s="45"/>
      <c r="F3" s="45"/>
      <c r="G3" s="45"/>
    </row>
    <row r="4" spans="1:7" ht="62.4">
      <c r="A4" s="81" t="s">
        <v>112</v>
      </c>
      <c r="B4" s="81" t="s">
        <v>113</v>
      </c>
      <c r="C4" s="45"/>
      <c r="D4" s="45"/>
      <c r="E4" s="45"/>
      <c r="F4" s="45"/>
      <c r="G4" s="45"/>
    </row>
    <row r="5" spans="1:7" ht="46.8">
      <c r="A5" s="81" t="s">
        <v>114</v>
      </c>
      <c r="B5" s="81" t="s">
        <v>115</v>
      </c>
      <c r="C5" s="45"/>
      <c r="D5" s="45"/>
      <c r="E5" s="45"/>
      <c r="F5" s="45"/>
      <c r="G5" s="45"/>
    </row>
    <row r="6" spans="1:7" ht="14.25" customHeight="1">
      <c r="A6" s="79"/>
      <c r="B6" s="79"/>
      <c r="C6" s="45"/>
      <c r="D6" s="45"/>
      <c r="E6" s="45"/>
      <c r="F6" s="45"/>
      <c r="G6" s="45"/>
    </row>
    <row r="7" spans="1:7" ht="15.6">
      <c r="A7" s="79"/>
      <c r="B7" s="79"/>
      <c r="C7" s="45"/>
      <c r="D7" s="45"/>
      <c r="E7" s="45"/>
      <c r="F7" s="45"/>
      <c r="G7" s="45"/>
    </row>
    <row r="8" spans="1:7" ht="15.6">
      <c r="B8" s="79"/>
      <c r="C8" s="45"/>
      <c r="D8" s="45"/>
      <c r="E8" s="45"/>
      <c r="F8" s="45"/>
      <c r="G8" s="45"/>
    </row>
    <row r="9" spans="1:7" ht="15.6">
      <c r="A9" s="82" t="s">
        <v>116</v>
      </c>
      <c r="B9" s="82"/>
      <c r="C9" s="45"/>
      <c r="D9" s="45"/>
      <c r="E9" s="45"/>
      <c r="F9" s="45"/>
      <c r="G9" s="45"/>
    </row>
    <row r="10" spans="1:7" ht="15.6">
      <c r="A10" s="80" t="s">
        <v>62</v>
      </c>
      <c r="B10" s="80" t="s">
        <v>63</v>
      </c>
      <c r="C10" s="45"/>
      <c r="D10" s="45"/>
      <c r="E10" s="45"/>
      <c r="F10" s="45"/>
      <c r="G10" s="45"/>
    </row>
    <row r="11" spans="1:7" ht="46.8">
      <c r="A11" s="81" t="s">
        <v>117</v>
      </c>
      <c r="B11" s="81" t="s">
        <v>118</v>
      </c>
      <c r="C11" s="45"/>
      <c r="D11" s="45"/>
      <c r="E11" s="45"/>
      <c r="F11" s="45"/>
      <c r="G11" s="45"/>
    </row>
    <row r="12" spans="1:7" ht="46.8">
      <c r="A12" s="81" t="s">
        <v>119</v>
      </c>
      <c r="B12" s="81" t="s">
        <v>120</v>
      </c>
      <c r="C12" s="45"/>
      <c r="D12" s="45"/>
      <c r="E12" s="45"/>
      <c r="F12" s="45"/>
      <c r="G12" s="45"/>
    </row>
    <row r="13" spans="1:7" ht="46.8">
      <c r="A13" s="81" t="s">
        <v>121</v>
      </c>
      <c r="B13" s="81" t="s">
        <v>122</v>
      </c>
      <c r="C13" s="45"/>
      <c r="D13" s="45"/>
      <c r="E13" s="45"/>
      <c r="F13" s="45"/>
      <c r="G13" s="45"/>
    </row>
    <row r="14" spans="1:7" ht="15.6">
      <c r="A14" s="79"/>
      <c r="B14" s="79"/>
      <c r="C14" s="45"/>
      <c r="D14" s="45"/>
      <c r="E14" s="45"/>
      <c r="F14" s="45"/>
      <c r="G14" s="45"/>
    </row>
    <row r="15" spans="1:7" ht="15.6">
      <c r="A15" s="79"/>
      <c r="B15" s="79"/>
      <c r="C15" s="45"/>
      <c r="D15" s="45"/>
      <c r="E15" s="45"/>
      <c r="F15" s="45"/>
      <c r="G15" s="45"/>
    </row>
    <row r="16" spans="1:7" ht="15.6">
      <c r="B16" s="79"/>
      <c r="C16" s="45"/>
      <c r="D16" s="45"/>
      <c r="E16" s="45"/>
      <c r="F16" s="45"/>
      <c r="G16" s="45"/>
    </row>
    <row r="17" spans="1:7" ht="15.6">
      <c r="A17" s="82" t="s">
        <v>123</v>
      </c>
      <c r="B17" s="82"/>
      <c r="C17" s="45"/>
      <c r="D17" s="45"/>
      <c r="E17" s="45"/>
      <c r="F17" s="45"/>
      <c r="G17" s="45"/>
    </row>
    <row r="18" spans="1:7" ht="14.25" customHeight="1">
      <c r="A18" s="80" t="s">
        <v>62</v>
      </c>
      <c r="B18" s="80" t="s">
        <v>63</v>
      </c>
      <c r="C18" s="45"/>
      <c r="D18" s="45"/>
      <c r="E18" s="45"/>
      <c r="F18" s="45"/>
      <c r="G18" s="45"/>
    </row>
    <row r="19" spans="1:7" ht="46.8">
      <c r="A19" s="81" t="s">
        <v>124</v>
      </c>
      <c r="B19" s="81" t="s">
        <v>125</v>
      </c>
      <c r="C19" s="45"/>
      <c r="D19" s="45"/>
      <c r="E19" s="45"/>
      <c r="F19" s="45"/>
      <c r="G19" s="45"/>
    </row>
    <row r="20" spans="1:7" ht="14.25" customHeight="1">
      <c r="A20" s="79"/>
      <c r="B20" s="79"/>
      <c r="C20" s="45"/>
      <c r="D20" s="45"/>
      <c r="E20" s="45"/>
      <c r="F20" s="45"/>
      <c r="G20" s="45"/>
    </row>
    <row r="21" spans="1:7" ht="14.25" customHeight="1">
      <c r="A21" s="79"/>
      <c r="B21" s="79"/>
      <c r="C21" s="45"/>
      <c r="D21" s="45"/>
      <c r="E21" s="45"/>
      <c r="F21" s="45"/>
      <c r="G21" s="45"/>
    </row>
    <row r="22" spans="1:7" ht="14.25" customHeight="1">
      <c r="B22" s="79"/>
      <c r="C22" s="45"/>
      <c r="D22" s="45"/>
      <c r="E22" s="45"/>
      <c r="F22" s="45"/>
      <c r="G22" s="45"/>
    </row>
    <row r="23" spans="1:7" ht="14.25" customHeight="1">
      <c r="A23" s="82" t="s">
        <v>126</v>
      </c>
      <c r="B23" s="82"/>
      <c r="C23" s="45"/>
      <c r="D23" s="45"/>
      <c r="E23" s="45"/>
      <c r="F23" s="45"/>
      <c r="G23" s="45"/>
    </row>
    <row r="24" spans="1:7" ht="14.25" customHeight="1">
      <c r="A24" s="80" t="s">
        <v>62</v>
      </c>
      <c r="B24" s="80" t="s">
        <v>63</v>
      </c>
      <c r="C24" s="45"/>
      <c r="D24" s="45"/>
      <c r="E24" s="45"/>
      <c r="F24" s="45"/>
      <c r="G24" s="45"/>
    </row>
    <row r="25" spans="1:7" ht="46.8">
      <c r="A25" s="81" t="s">
        <v>127</v>
      </c>
      <c r="B25" s="81" t="s">
        <v>128</v>
      </c>
    </row>
    <row r="26" spans="1:7" ht="62.4">
      <c r="A26" s="81" t="s">
        <v>129</v>
      </c>
      <c r="B26" s="81" t="s">
        <v>130</v>
      </c>
    </row>
    <row r="27" spans="1:7" ht="46.8">
      <c r="A27" s="81" t="s">
        <v>131</v>
      </c>
      <c r="B27" s="81" t="s">
        <v>132</v>
      </c>
    </row>
    <row r="28" spans="1:7" ht="14.25" customHeight="1">
      <c r="A28" s="79"/>
      <c r="B28" s="79"/>
    </row>
    <row r="29" spans="1:7" ht="14.25" customHeight="1">
      <c r="A29" s="79"/>
      <c r="B29" s="79"/>
    </row>
    <row r="30" spans="1:7" ht="14.25" customHeight="1">
      <c r="B30" s="79"/>
    </row>
    <row r="31" spans="1:7" ht="14.25" customHeight="1">
      <c r="A31" s="82" t="s">
        <v>133</v>
      </c>
      <c r="B31" s="82"/>
    </row>
    <row r="32" spans="1:7" ht="14.25" customHeight="1">
      <c r="A32" s="80" t="s">
        <v>62</v>
      </c>
      <c r="B32" s="80" t="s">
        <v>63</v>
      </c>
    </row>
    <row r="33" spans="1:2" ht="62.4">
      <c r="A33" s="81" t="s">
        <v>134</v>
      </c>
      <c r="B33" s="81" t="s">
        <v>135</v>
      </c>
    </row>
    <row r="34" spans="1:2" ht="14.25" customHeight="1"/>
    <row r="35" spans="1:2" ht="14.25" customHeight="1"/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7:B17"/>
    <mergeCell ref="A23:B23"/>
    <mergeCell ref="A31:B31"/>
    <mergeCell ref="A2:B2"/>
    <mergeCell ref="A9:B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Matriz Ckeck LIst</vt:lpstr>
      <vt:lpstr>MODELO LISTA DE COMPROBACION 1</vt:lpstr>
      <vt:lpstr>MODELO LISTA DE COMPROBACION 2</vt:lpstr>
      <vt:lpstr>MODELO LISTA DE COMPROBACION 3</vt:lpstr>
      <vt:lpstr>MODELO LISTA DE COMPROBACION 4</vt:lpstr>
      <vt:lpstr>MODELO LISTA DE COMPROBACION 5</vt:lpstr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Pablo Domínguez</cp:lastModifiedBy>
  <dcterms:created xsi:type="dcterms:W3CDTF">2026-04-14T13:46:44Z</dcterms:created>
  <dcterms:modified xsi:type="dcterms:W3CDTF">2026-05-14T16:40:46Z</dcterms:modified>
</cp:coreProperties>
</file>