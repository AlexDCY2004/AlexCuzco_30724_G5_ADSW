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4"/>
    <sheet state="visible" name="MODELO LISTA DE COMPROBACION" sheetId="2" r:id="rId5"/>
    <sheet state="visible" name="RECOMENDACIONES" sheetId="3" r:id="rId6"/>
  </sheets>
  <definedNames/>
  <calcPr/>
  <extLst>
    <ext uri="GoogleSheetsCustomDataVersion2">
      <go:sheetsCustomData xmlns:go="http://customooxmlschemas.google.com/" r:id="rId7" roundtripDataChecksum="WoooCkl2GIdQ+VH3JAOXYbYaNIs0khJcuMCvA3Zs5N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ID#AAAB5ZYFUrI
ESPE    (2026-04-14 17:28:59)
COMPLETITUD REQUISITO INDIVIDUAL</t>
      </text>
    </comment>
    <comment authorId="0" ref="B11">
      <text>
        <t xml:space="preserve">======
ID#AAAB5YuXXAY
ESPE    (2026-04-14 17:28:59)
trazabilidad</t>
      </text>
    </comment>
    <comment authorId="0" ref="B13">
      <text>
        <t xml:space="preserve">======
ID#AAAB5YuXXAI
ESPE    (2026-04-14 17:28:59)
CORRECCION</t>
      </text>
    </comment>
    <comment authorId="0" ref="B10">
      <text>
        <t xml:space="preserve">======
ID#AAAB5YuXXAM
ESPE    (2026-04-14 17:28:59)
TRAZABILIDAD</t>
      </text>
    </comment>
    <comment authorId="0" ref="B8">
      <text>
        <t xml:space="preserve">======
ID#AAAB5YuXW_0
ESPE    (2026-04-14 17:28:59)
COMPLETITUD DOCUMENTO</t>
      </text>
    </comment>
    <comment authorId="0" ref="B12">
      <text>
        <t xml:space="preserve">======
ID#AAAB5YuXW_4
ESPE    (2026-04-14 17:28:59)
TRAZABILIDAD</t>
      </text>
    </comment>
    <comment authorId="0" ref="B15">
      <text>
        <t xml:space="preserve">======
ID#AAAB5YuXW_k
ESPE    (2026-04-14 17:28:59)
NECESIDAD</t>
      </text>
    </comment>
    <comment authorId="0" ref="B14">
      <text>
        <t xml:space="preserve">======
ID#AAAB5YuXW_o
ESPE    (2026-04-14 17:28:59)
CONSISTENCIA</t>
      </text>
    </comment>
    <comment authorId="0" ref="B16">
      <text>
        <t xml:space="preserve">======
ID#AAAB5YuXW_Y
ESPE    (2026-04-14 17:28:59)
verificable</t>
      </text>
    </comment>
  </commentList>
  <extLst>
    <ext uri="GoogleSheetsCustomDataVersion2">
      <go:sheetsCustomData xmlns:go="http://customooxmlschemas.google.com/" r:id="rId1" roundtripDataSignature="AMtx7mieHQeQfmMzIotb4efntZFBPwwaxQ=="/>
    </ext>
  </extLst>
</comments>
</file>

<file path=xl/sharedStrings.xml><?xml version="1.0" encoding="utf-8"?>
<sst xmlns="http://schemas.openxmlformats.org/spreadsheetml/2006/main" count="308" uniqueCount="84">
  <si>
    <t>MATRIZ PARA COMPROBACIÓN REQUERIMIENTOS DE CALIDAD DE PROYECTO ACADEMICO</t>
  </si>
  <si>
    <t>SISTEMA:</t>
  </si>
  <si>
    <t xml:space="preserve">Sistema de planificación y seguimiento de eventos sociales y deportivos del Club de Suboficiales Retirados (EVENTUAL) </t>
  </si>
  <si>
    <t>Requerimientos  Funcionales</t>
  </si>
  <si>
    <t>Nº</t>
  </si>
  <si>
    <t>CRITERIOS DE CALIDAD (Documento/Requerimientos)</t>
  </si>
  <si>
    <t>Status
Nivel de Acuerdo</t>
  </si>
  <si>
    <t xml:space="preserve">
CU001 Acceso al software
</t>
  </si>
  <si>
    <t>CU002 Generar reportes</t>
  </si>
  <si>
    <t>CU003 Consultar Calendario de Eventos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</si>
  <si>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</si>
  <si>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</si>
  <si>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</si>
  <si>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</si>
  <si>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</si>
  <si>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</si>
  <si>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</si>
  <si>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</si>
  <si>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</si>
  <si>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</si>
  <si>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</si>
  <si>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 xml:space="preserve">OK 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</si>
  <si>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</si>
  <si>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</si>
  <si>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</si>
  <si>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1. Requisito Medible                                                           2.  Tiene Casos de Prueba</t>
  </si>
  <si>
    <t>1. Requisito Medible                                                                                          2.  Tiene Casos de Prueba</t>
  </si>
  <si>
    <t>Realizable</t>
  </si>
  <si>
    <t>1. Funcionalidad tomada en cuenta dentro de la estimación del costo del proyecto ($1827)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</si>
  <si>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</si>
  <si>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</si>
  <si>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</si>
  <si>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</si>
  <si>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</si>
  <si>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 Existe glosario de términos</t>
  </si>
  <si>
    <t>FECHA:</t>
  </si>
  <si>
    <t>AUTOR:</t>
  </si>
  <si>
    <t>Alex Cuzco</t>
  </si>
  <si>
    <t>Pablo Domínguez</t>
  </si>
  <si>
    <t>Dylan Alvarado</t>
  </si>
  <si>
    <t>REQUERIMIENTOS EVALUADOS :</t>
  </si>
  <si>
    <t>CU001 Acceso al software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</si>
  <si>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</si>
  <si>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</si>
  <si>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</si>
  <si>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</si>
  <si>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</si>
  <si>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</si>
  <si>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</si>
  <si>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</si>
  <si>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</si>
  <si>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</si>
  <si>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</si>
  <si>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</si>
  <si>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</si>
  <si>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</si>
  <si>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</si>
  <si>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</si>
  <si>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</si>
  <si>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</si>
  <si>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</si>
  <si>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</si>
  <si>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</si>
  <si>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</si>
  <si>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</si>
  <si>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</si>
  <si>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</si>
  <si>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</si>
  <si>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</si>
  <si>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</si>
  <si>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</si>
  <si>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CU001 - Acceso al Software</t>
  </si>
  <si>
    <t>CU002 - Generar reportes</t>
  </si>
  <si>
    <t>CU003 - Generar calendario de eventos</t>
  </si>
  <si>
    <t>PREGUNTA</t>
  </si>
  <si>
    <t>RECOMENDACIÓN</t>
  </si>
  <si>
    <t>¿Se han validado y aprobado formalmente todos los entregables de la entrevista (videoconferencia, minuta, acta de aceptación)?</t>
  </si>
  <si>
    <t>Sí, los entregables de la entrevista, incluyendo la videoconferencia, minuta y acta de aceptación, han sido validados y aprobados formalmente por los interesados.</t>
  </si>
  <si>
    <t>Sí, todos los entregables asociados a la entrevista han sido revisados, validados y aprobados formalmente por los stakeholders.</t>
  </si>
  <si>
    <t>Sí, los entregables de la entrevista han sido debidamente validados y cuentan con la aprobación formal correspondiente.</t>
  </si>
  <si>
    <t>¿Se han definido criterios de aceptación y casos de prueba
 que permitan medir objetivamente el cumplimiento del 
requisito?</t>
  </si>
  <si>
    <t>Sí, se han definido criterios de aceptación y casos de prueba que permiten verificar de manera objetiva el correcto funcionamiento del proceso de autenticación y control de acceso.</t>
  </si>
  <si>
    <t>Sí, se han establecido criterios de aceptación y casos de prueba que permiten evaluar objetivamente la correcta generación, visualización y exportación de los reportes.</t>
  </si>
  <si>
    <t>Sí, se han definido criterios de aceptación y casos de prueba que permiten comprobar objetivamente la visualización, filtrado e interacción con el calendario de eventos.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</si>
</sst>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/>
    <font>
      <b/>
      <sz val="18.0"/>
      <color theme="1"/>
      <name val="Calibri"/>
    </font>
    <font>
      <b/>
      <sz val="18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6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rgb="FFFFFFFF"/>
      <name val="Calibri"/>
    </font>
    <font>
      <b/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7" fillId="0" fontId="4" numFmtId="0" xfId="0" applyAlignment="1" applyBorder="1" applyFont="1">
      <alignment horizontal="left" readingOrder="0" shrinkToFit="0" vertical="center" wrapText="1"/>
    </xf>
    <xf borderId="7" fillId="2" fontId="5" numFmtId="0" xfId="0" applyAlignment="1" applyBorder="1" applyFill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readingOrder="0" shrinkToFit="0" vertical="center" wrapText="1"/>
    </xf>
    <xf borderId="11" fillId="0" fontId="8" numFmtId="0" xfId="0" applyBorder="1" applyFont="1"/>
    <xf borderId="12" fillId="0" fontId="3" numFmtId="0" xfId="0" applyBorder="1" applyFont="1"/>
    <xf borderId="13" fillId="3" fontId="9" numFmtId="0" xfId="0" applyAlignment="1" applyBorder="1" applyFill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11" fillId="4" fontId="10" numFmtId="0" xfId="0" applyAlignment="1" applyBorder="1" applyFill="1" applyFont="1">
      <alignment horizontal="center" shrinkToFit="0" vertical="center" wrapText="1"/>
    </xf>
    <xf borderId="14" fillId="3" fontId="11" numFmtId="0" xfId="0" applyAlignment="1" applyBorder="1" applyFont="1">
      <alignment horizontal="left" shrinkToFit="0" vertical="center" wrapText="1"/>
    </xf>
    <xf borderId="11" fillId="4" fontId="10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11" fillId="3" fontId="11" numFmtId="0" xfId="0" applyAlignment="1" applyBorder="1" applyFont="1">
      <alignment shrinkToFit="0" vertical="center" wrapText="1"/>
    </xf>
    <xf borderId="11" fillId="3" fontId="11" numFmtId="0" xfId="0" applyAlignment="1" applyBorder="1" applyFont="1">
      <alignment horizontal="left" shrinkToFit="0" vertical="center" wrapText="1"/>
    </xf>
    <xf borderId="7" fillId="3" fontId="12" numFmtId="0" xfId="0" applyAlignment="1" applyBorder="1" applyFont="1">
      <alignment horizontal="center" readingOrder="0" shrinkToFit="0" vertical="center" wrapText="1"/>
    </xf>
    <xf borderId="11" fillId="3" fontId="11" numFmtId="0" xfId="0" applyAlignment="1" applyBorder="1" applyFont="1">
      <alignment horizontal="left" readingOrder="0" shrinkToFit="0" vertical="center" wrapText="1"/>
    </xf>
    <xf borderId="15" fillId="3" fontId="11" numFmtId="0" xfId="0" applyAlignment="1" applyBorder="1" applyFont="1">
      <alignment horizontal="left" shrinkToFit="0" vertical="center" wrapText="1"/>
    </xf>
    <xf borderId="7" fillId="0" fontId="13" numFmtId="0" xfId="0" applyAlignment="1" applyBorder="1" applyFont="1">
      <alignment horizontal="left" vertical="top"/>
    </xf>
    <xf borderId="7" fillId="0" fontId="14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vertical="top"/>
    </xf>
    <xf borderId="7" fillId="0" fontId="13" numFmtId="0" xfId="0" applyAlignment="1" applyBorder="1" applyFont="1">
      <alignment horizontal="left"/>
    </xf>
    <xf borderId="7" fillId="0" fontId="14" numFmtId="15" xfId="0" applyAlignment="1" applyBorder="1" applyFont="1" applyNumberFormat="1">
      <alignment horizontal="left" readingOrder="0" shrinkToFit="0" wrapText="1"/>
    </xf>
    <xf borderId="7" fillId="0" fontId="14" numFmtId="0" xfId="0" applyAlignment="1" applyBorder="1" applyFont="1">
      <alignment horizontal="left" readingOrder="0" shrinkToFit="0" wrapText="1"/>
    </xf>
    <xf borderId="7" fillId="0" fontId="15" numFmtId="0" xfId="0" applyAlignment="1" applyBorder="1" applyFont="1">
      <alignment horizontal="center" vertical="center"/>
    </xf>
    <xf borderId="11" fillId="5" fontId="14" numFmtId="0" xfId="0" applyAlignment="1" applyBorder="1" applyFill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shrinkToFit="0" wrapText="1"/>
    </xf>
    <xf borderId="11" fillId="6" fontId="8" numFmtId="0" xfId="0" applyAlignment="1" applyBorder="1" applyFill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left" vertical="center"/>
    </xf>
    <xf borderId="11" fillId="0" fontId="8" numFmtId="0" xfId="0" applyAlignment="1" applyBorder="1" applyFont="1">
      <alignment readingOrder="0"/>
    </xf>
    <xf borderId="11" fillId="0" fontId="8" numFmtId="9" xfId="0" applyBorder="1" applyFont="1" applyNumberFormat="1"/>
    <xf borderId="0" fillId="0" fontId="13" numFmtId="0" xfId="0" applyAlignment="1" applyFont="1">
      <alignment horizontal="left" vertical="center"/>
    </xf>
    <xf borderId="0" fillId="0" fontId="8" numFmtId="9" xfId="0" applyFont="1" applyNumberFormat="1"/>
    <xf borderId="11" fillId="0" fontId="13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1" fillId="0" fontId="8" numFmtId="0" xfId="0" applyAlignment="1" applyBorder="1" applyFont="1">
      <alignment vertical="top"/>
    </xf>
    <xf borderId="0" fillId="0" fontId="8" numFmtId="0" xfId="0" applyAlignment="1" applyFont="1">
      <alignment readingOrder="0"/>
    </xf>
    <xf borderId="0" fillId="7" fontId="16" numFmtId="0" xfId="0" applyAlignment="1" applyFill="1" applyFont="1">
      <alignment horizontal="center" readingOrder="0" vertical="center"/>
    </xf>
    <xf borderId="11" fillId="7" fontId="17" numFmtId="0" xfId="0" applyAlignment="1" applyBorder="1" applyFont="1">
      <alignment horizontal="center" vertical="center"/>
    </xf>
    <xf borderId="11" fillId="0" fontId="8" numFmtId="0" xfId="0" applyAlignment="1" applyBorder="1" applyFont="1">
      <alignment shrinkToFit="0" wrapText="1"/>
    </xf>
    <xf borderId="11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3" pivot="0" name="MODELO LISTA DE COMPROBACION-style">
      <tableStyleElement dxfId="1" type="headerRow"/>
      <tableStyleElement dxfId="2" type="firstRowStripe"/>
      <tableStyleElement dxfId="3" type="secondRowStripe"/>
    </tableStyle>
    <tableStyle count="3" pivot="0" name="MODELO LISTA DE COMPROBACION-style 2">
      <tableStyleElement dxfId="1" type="headerRow"/>
      <tableStyleElement dxfId="2" type="firstRowStripe"/>
      <tableStyleElement dxfId="3" type="secondRowStripe"/>
    </tableStyle>
    <tableStyle count="3" pivot="0" name="MODELO LISTA DE COMPROBACION-style 3">
      <tableStyleElement dxfId="1" type="headerRow"/>
      <tableStyleElement dxfId="2" type="firstRowStripe"/>
      <tableStyleElement dxfId="3" type="secondRowStripe"/>
    </tableStyle>
    <tableStyle count="3" pivot="0" name="MODELO LISTA DE COMPROBACION-style 4">
      <tableStyleElement dxfId="4" type="headerRow"/>
      <tableStyleElement dxfId="5" type="firstRowStripe"/>
      <tableStyleElement dxfId="3" type="secondRowStripe"/>
    </tableStyle>
    <tableStyle count="3" pivot="0" name="MODELO LISTA DE COMPROBACION-style 5">
      <tableStyleElement dxfId="4" type="headerRow"/>
      <tableStyleElement dxfId="5" type="firstRowStripe"/>
      <tableStyleElement dxfId="3" type="secondRowStripe"/>
    </tableStyle>
    <tableStyle count="3" pivot="0" name="MODELO LISTA DE COMPROBACION-style 6">
      <tableStyleElement dxfId="4" type="headerRow"/>
      <tableStyleElement dxfId="5" type="firstRowStripe"/>
      <tableStyleElement dxfId="3" type="secondRowStripe"/>
    </tableStyle>
    <tableStyle count="3" pivot="0" name="MODELO LISTA DE COMPROBACION-style 7">
      <tableStyleElement dxfId="6" type="headerRow"/>
      <tableStyleElement dxfId="7" type="firstRowStripe"/>
      <tableStyleElement dxfId="3" type="secondRowStripe"/>
    </tableStyle>
    <tableStyle count="3" pivot="0" name="MODELO LISTA DE COMPROBACION-style 8">
      <tableStyleElement dxfId="6" type="headerRow"/>
      <tableStyleElement dxfId="7" type="firstRowStripe"/>
      <tableStyleElement dxfId="3" type="secondRowStripe"/>
    </tableStyle>
    <tableStyle count="3" pivot="0" name="MODELO LISTA DE COMPROBACION-style 9">
      <tableStyleElement dxfId="6" type="headerRow"/>
      <tableStyleElement dxfId="7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COMPROBACION'!$B$41:$B$43</c:f>
            </c:strRef>
          </c:cat>
          <c:val>
            <c:numRef>
              <c:f>'MODELO LISTA DE COMPROBACION'!$C$41:$C$43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COMPROBACION'!$G$41:$G$43</c:f>
            </c:strRef>
          </c:cat>
          <c:val>
            <c:numRef>
              <c:f>'MODELO LISTA DE COMPROBACION'!$H$41:$H$43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CRITERIO DE CALIDAD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'MODELO LISTA DE COMPROBACION'!$M$40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'MODELO LISTA DE COMPROBACION'!$L$41:$L$43</c:f>
            </c:strRef>
          </c:cat>
          <c:val>
            <c:numRef>
              <c:f>'MODELO LISTA DE COMPROBACION'!$M$41:$M$43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43</xdr:row>
      <xdr:rowOff>133350</xdr:rowOff>
    </xdr:from>
    <xdr:ext cx="4286250" cy="2143125"/>
    <xdr:graphicFrame>
      <xdr:nvGraphicFramePr>
        <xdr:cNvPr id="165065332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533400</xdr:colOff>
      <xdr:row>43</xdr:row>
      <xdr:rowOff>133350</xdr:rowOff>
    </xdr:from>
    <xdr:ext cx="4286250" cy="2143125"/>
    <xdr:graphicFrame>
      <xdr:nvGraphicFramePr>
        <xdr:cNvPr id="171695815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647700</xdr:colOff>
      <xdr:row>43</xdr:row>
      <xdr:rowOff>133350</xdr:rowOff>
    </xdr:from>
    <xdr:ext cx="4286250" cy="2143125"/>
    <xdr:graphicFrame>
      <xdr:nvGraphicFramePr>
        <xdr:cNvPr id="70455086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-style" showColumnStripes="0" showFirstColumn="1" showLastColumn="1" showRowStripes="1"/>
</table>
</file>

<file path=xl/tables/table2.xml><?xml version="1.0" encoding="utf-8"?>
<table xmlns="http://schemas.openxmlformats.org/spreadsheetml/2006/main" ref="F7:I1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-style 2" showColumnStripes="0" showFirstColumn="1" showLastColumn="1" showRowStripes="1"/>
</table>
</file>

<file path=xl/tables/table3.xml><?xml version="1.0" encoding="utf-8"?>
<table xmlns="http://schemas.openxmlformats.org/spreadsheetml/2006/main" ref="K7:N16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-style 3" showColumnStripes="0" showFirstColumn="1" showLastColumn="1" showRowStripes="1"/>
</table>
</file>

<file path=xl/tables/table4.xml><?xml version="1.0" encoding="utf-8"?>
<table xmlns="http://schemas.openxmlformats.org/spreadsheetml/2006/main" ref="A21:D26" displayName="Table_4" name="Table_4" id="4">
  <tableColumns count="4">
    <tableColumn name="No." id="1"/>
    <tableColumn name="Pregunta" id="2"/>
    <tableColumn name="SI" id="3"/>
    <tableColumn name="NO " id="4"/>
  </tableColumns>
  <tableStyleInfo name="MODELO LISTA DE COMPROBACION-style 4" showColumnStripes="0" showFirstColumn="1" showLastColumn="1" showRowStripes="1"/>
</table>
</file>

<file path=xl/tables/table5.xml><?xml version="1.0" encoding="utf-8"?>
<table xmlns="http://schemas.openxmlformats.org/spreadsheetml/2006/main" ref="F21:I26" displayName="Table_5" name="Table_5" id="5">
  <tableColumns count="4">
    <tableColumn name="No." id="1"/>
    <tableColumn name="Pregunta" id="2"/>
    <tableColumn name="SI" id="3"/>
    <tableColumn name="NO " id="4"/>
  </tableColumns>
  <tableStyleInfo name="MODELO LISTA DE COMPROBACION-style 5" showColumnStripes="0" showFirstColumn="1" showLastColumn="1" showRowStripes="1"/>
</table>
</file>

<file path=xl/tables/table6.xml><?xml version="1.0" encoding="utf-8"?>
<table xmlns="http://schemas.openxmlformats.org/spreadsheetml/2006/main" ref="K21:N26" displayName="Table_6" name="Table_6" id="6">
  <tableColumns count="4">
    <tableColumn name="No." id="1"/>
    <tableColumn name="Pregunta" id="2"/>
    <tableColumn name="SI" id="3"/>
    <tableColumn name="NO " id="4"/>
  </tableColumns>
  <tableStyleInfo name="MODELO LISTA DE COMPROBACION-style 6" showColumnStripes="0" showFirstColumn="1" showLastColumn="1" showRowStripes="1"/>
</table>
</file>

<file path=xl/tables/table7.xml><?xml version="1.0" encoding="utf-8"?>
<table xmlns="http://schemas.openxmlformats.org/spreadsheetml/2006/main" ref="A31:D34" displayName="Table_7" name="Table_7" id="7">
  <tableColumns count="4">
    <tableColumn name="No." id="1"/>
    <tableColumn name="Pregunta" id="2"/>
    <tableColumn name="SI" id="3"/>
    <tableColumn name="NO " id="4"/>
  </tableColumns>
  <tableStyleInfo name="MODELO LISTA DE COMPROBACION-style 7" showColumnStripes="0" showFirstColumn="1" showLastColumn="1" showRowStripes="1"/>
</table>
</file>

<file path=xl/tables/table8.xml><?xml version="1.0" encoding="utf-8"?>
<table xmlns="http://schemas.openxmlformats.org/spreadsheetml/2006/main" ref="F31:I34" displayName="Table_8" name="Table_8" id="8">
  <tableColumns count="4">
    <tableColumn name="No." id="1"/>
    <tableColumn name="Pregunta" id="2"/>
    <tableColumn name="SI" id="3"/>
    <tableColumn name="NO " id="4"/>
  </tableColumns>
  <tableStyleInfo name="MODELO LISTA DE COMPROBACION-style 8" showColumnStripes="0" showFirstColumn="1" showLastColumn="1" showRowStripes="1"/>
</table>
</file>

<file path=xl/tables/table9.xml><?xml version="1.0" encoding="utf-8"?>
<table xmlns="http://schemas.openxmlformats.org/spreadsheetml/2006/main" ref="K31:N34" displayName="Table_9" name="Table_9" id="9">
  <tableColumns count="4">
    <tableColumn name="No." id="1"/>
    <tableColumn name="Pregunta" id="2"/>
    <tableColumn name="SI" id="3"/>
    <tableColumn name="NO " id="4"/>
  </tableColumns>
  <tableStyleInfo name="MODELO LISTA DE COMPROBACION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20" Type="http://schemas.openxmlformats.org/officeDocument/2006/relationships/table" Target="../tables/table8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54.0"/>
  </cols>
  <sheetData>
    <row r="1" ht="14.25" customHeight="1">
      <c r="C1" s="1"/>
    </row>
    <row r="2" ht="14.25" customHeight="1">
      <c r="C2" s="1"/>
    </row>
    <row r="3" ht="30.0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4"/>
    </row>
    <row r="4" ht="30.0" customHeight="1">
      <c r="B4" s="5"/>
      <c r="C4" s="6"/>
      <c r="D4" s="6"/>
      <c r="E4" s="6"/>
      <c r="F4" s="6"/>
      <c r="G4" s="6"/>
      <c r="H4" s="6"/>
      <c r="I4" s="6"/>
      <c r="J4" s="6"/>
      <c r="K4" s="7"/>
    </row>
    <row r="5" ht="30.0" customHeight="1">
      <c r="B5" s="8" t="s">
        <v>1</v>
      </c>
      <c r="C5" s="9"/>
      <c r="D5" s="10"/>
      <c r="E5" s="11" t="s">
        <v>2</v>
      </c>
      <c r="F5" s="9"/>
      <c r="G5" s="9"/>
      <c r="H5" s="9"/>
      <c r="I5" s="9"/>
      <c r="J5" s="9"/>
      <c r="K5" s="10"/>
    </row>
    <row r="6" ht="55.5" customHeight="1">
      <c r="B6" s="12" t="s">
        <v>3</v>
      </c>
      <c r="C6" s="9"/>
      <c r="D6" s="9"/>
      <c r="E6" s="9"/>
      <c r="F6" s="9"/>
      <c r="G6" s="9"/>
      <c r="H6" s="9"/>
      <c r="I6" s="9"/>
      <c r="J6" s="9"/>
      <c r="K6" s="10"/>
    </row>
    <row r="7" ht="45.0" customHeight="1">
      <c r="B7" s="13" t="s">
        <v>4</v>
      </c>
      <c r="C7" s="14" t="s">
        <v>5</v>
      </c>
      <c r="D7" s="4"/>
      <c r="E7" s="15" t="s">
        <v>6</v>
      </c>
      <c r="F7" s="16" t="s">
        <v>7</v>
      </c>
      <c r="G7" s="15" t="s">
        <v>6</v>
      </c>
      <c r="H7" s="17"/>
      <c r="I7" s="16" t="s">
        <v>8</v>
      </c>
      <c r="J7" s="15" t="s">
        <v>6</v>
      </c>
      <c r="K7" s="16" t="s">
        <v>9</v>
      </c>
    </row>
    <row r="8" ht="60.0" customHeight="1">
      <c r="B8" s="18"/>
      <c r="C8" s="5"/>
      <c r="D8" s="7"/>
      <c r="E8" s="18"/>
      <c r="F8" s="18"/>
      <c r="G8" s="18"/>
      <c r="H8" s="17"/>
      <c r="I8" s="18"/>
      <c r="J8" s="18"/>
      <c r="K8" s="18"/>
    </row>
    <row r="9">
      <c r="B9" s="19">
        <v>1.0</v>
      </c>
      <c r="C9" s="20" t="s">
        <v>10</v>
      </c>
      <c r="D9" s="10"/>
      <c r="E9" s="21" t="s">
        <v>11</v>
      </c>
      <c r="F9" s="22" t="s">
        <v>12</v>
      </c>
      <c r="G9" s="23" t="s">
        <v>11</v>
      </c>
      <c r="H9" s="24"/>
      <c r="I9" s="22" t="s">
        <v>12</v>
      </c>
      <c r="J9" s="23" t="s">
        <v>11</v>
      </c>
      <c r="K9" s="22" t="s">
        <v>12</v>
      </c>
    </row>
    <row r="10">
      <c r="B10" s="19">
        <v>2.0</v>
      </c>
      <c r="C10" s="20" t="s">
        <v>13</v>
      </c>
      <c r="D10" s="10"/>
      <c r="E10" s="21" t="s">
        <v>11</v>
      </c>
      <c r="F10" s="25" t="s">
        <v>14</v>
      </c>
      <c r="G10" s="23" t="s">
        <v>11</v>
      </c>
      <c r="I10" s="25" t="s">
        <v>14</v>
      </c>
      <c r="J10" s="23" t="s">
        <v>11</v>
      </c>
      <c r="K10" s="25" t="s">
        <v>14</v>
      </c>
    </row>
    <row r="11">
      <c r="B11" s="19">
        <v>3.0</v>
      </c>
      <c r="C11" s="20" t="s">
        <v>15</v>
      </c>
      <c r="D11" s="10"/>
      <c r="E11" s="21" t="s">
        <v>11</v>
      </c>
      <c r="F11" s="25" t="s">
        <v>16</v>
      </c>
      <c r="G11" s="23" t="s">
        <v>11</v>
      </c>
      <c r="I11" s="25" t="s">
        <v>16</v>
      </c>
      <c r="J11" s="23" t="s">
        <v>11</v>
      </c>
      <c r="K11" s="25" t="s">
        <v>16</v>
      </c>
    </row>
    <row r="12">
      <c r="B12" s="19">
        <v>4.0</v>
      </c>
      <c r="C12" s="20" t="s">
        <v>17</v>
      </c>
      <c r="D12" s="10"/>
      <c r="E12" s="21" t="s">
        <v>11</v>
      </c>
      <c r="F12" s="26" t="s">
        <v>18</v>
      </c>
      <c r="G12" s="23" t="s">
        <v>11</v>
      </c>
      <c r="I12" s="26" t="s">
        <v>18</v>
      </c>
      <c r="J12" s="23" t="s">
        <v>11</v>
      </c>
      <c r="K12" s="26" t="s">
        <v>18</v>
      </c>
    </row>
    <row r="13">
      <c r="B13" s="19">
        <v>5.0</v>
      </c>
      <c r="C13" s="20" t="s">
        <v>19</v>
      </c>
      <c r="D13" s="10"/>
      <c r="E13" s="21" t="s">
        <v>11</v>
      </c>
      <c r="F13" s="26" t="s">
        <v>20</v>
      </c>
      <c r="G13" s="23" t="s">
        <v>11</v>
      </c>
      <c r="I13" s="26" t="s">
        <v>20</v>
      </c>
      <c r="J13" s="23" t="s">
        <v>21</v>
      </c>
      <c r="K13" s="26" t="s">
        <v>20</v>
      </c>
    </row>
    <row r="14">
      <c r="B14" s="19">
        <v>6.0</v>
      </c>
      <c r="C14" s="27" t="s">
        <v>22</v>
      </c>
      <c r="D14" s="10"/>
      <c r="E14" s="21" t="s">
        <v>11</v>
      </c>
      <c r="F14" s="26" t="s">
        <v>23</v>
      </c>
      <c r="G14" s="23" t="s">
        <v>11</v>
      </c>
      <c r="I14" s="26" t="s">
        <v>23</v>
      </c>
      <c r="J14" s="23" t="s">
        <v>11</v>
      </c>
      <c r="K14" s="26" t="s">
        <v>23</v>
      </c>
    </row>
    <row r="15" ht="42.75" customHeight="1">
      <c r="B15" s="19">
        <v>7.0</v>
      </c>
      <c r="C15" s="20" t="s">
        <v>24</v>
      </c>
      <c r="D15" s="10"/>
      <c r="E15" s="23" t="s">
        <v>11</v>
      </c>
      <c r="F15" s="28" t="s">
        <v>25</v>
      </c>
      <c r="G15" s="23" t="s">
        <v>11</v>
      </c>
      <c r="I15" s="28" t="s">
        <v>25</v>
      </c>
      <c r="J15" s="23" t="s">
        <v>11</v>
      </c>
      <c r="K15" s="28" t="s">
        <v>26</v>
      </c>
    </row>
    <row r="16">
      <c r="B16" s="19">
        <v>8.0</v>
      </c>
      <c r="C16" s="20" t="s">
        <v>27</v>
      </c>
      <c r="D16" s="10"/>
      <c r="E16" s="23" t="s">
        <v>11</v>
      </c>
      <c r="F16" s="28" t="s">
        <v>28</v>
      </c>
      <c r="G16" s="23" t="s">
        <v>11</v>
      </c>
      <c r="I16" s="28" t="s">
        <v>28</v>
      </c>
      <c r="J16" s="23" t="s">
        <v>11</v>
      </c>
      <c r="K16" s="28" t="s">
        <v>28</v>
      </c>
    </row>
    <row r="17">
      <c r="B17" s="19">
        <v>9.0</v>
      </c>
      <c r="C17" s="20" t="s">
        <v>29</v>
      </c>
      <c r="D17" s="10"/>
      <c r="E17" s="21" t="s">
        <v>11</v>
      </c>
      <c r="F17" s="29" t="s">
        <v>30</v>
      </c>
      <c r="G17" s="23" t="s">
        <v>11</v>
      </c>
      <c r="I17" s="29" t="s">
        <v>30</v>
      </c>
      <c r="J17" s="23" t="s">
        <v>11</v>
      </c>
      <c r="K17" s="29" t="s">
        <v>30</v>
      </c>
    </row>
    <row r="18">
      <c r="B18" s="19">
        <v>10.0</v>
      </c>
      <c r="C18" s="20" t="s">
        <v>31</v>
      </c>
      <c r="D18" s="10"/>
      <c r="E18" s="21" t="s">
        <v>11</v>
      </c>
      <c r="F18" s="26" t="s">
        <v>32</v>
      </c>
      <c r="G18" s="23" t="s">
        <v>11</v>
      </c>
      <c r="I18" s="26" t="s">
        <v>32</v>
      </c>
      <c r="J18" s="23" t="s">
        <v>11</v>
      </c>
      <c r="K18" s="26" t="s">
        <v>32</v>
      </c>
    </row>
    <row r="19">
      <c r="B19" s="19">
        <v>11.0</v>
      </c>
      <c r="C19" s="20" t="s">
        <v>33</v>
      </c>
      <c r="D19" s="10"/>
      <c r="E19" s="23" t="s">
        <v>11</v>
      </c>
      <c r="F19" s="26" t="s">
        <v>34</v>
      </c>
      <c r="G19" s="23" t="s">
        <v>11</v>
      </c>
      <c r="I19" s="26" t="s">
        <v>34</v>
      </c>
      <c r="J19" s="23" t="s">
        <v>11</v>
      </c>
      <c r="K19" s="26" t="s">
        <v>34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F7:F8"/>
    <mergeCell ref="G7:G8"/>
    <mergeCell ref="I7:I8"/>
    <mergeCell ref="J7:J8"/>
    <mergeCell ref="B3:K4"/>
    <mergeCell ref="B5:D5"/>
    <mergeCell ref="E5:K5"/>
    <mergeCell ref="B6:K6"/>
    <mergeCell ref="B7:B8"/>
    <mergeCell ref="E7:E8"/>
    <mergeCell ref="K7:K8"/>
    <mergeCell ref="C15:D15"/>
    <mergeCell ref="C16:D16"/>
    <mergeCell ref="C17:D17"/>
    <mergeCell ref="C18:D18"/>
    <mergeCell ref="C19:D19"/>
    <mergeCell ref="C7:D8"/>
    <mergeCell ref="C9:D9"/>
    <mergeCell ref="C10:D10"/>
    <mergeCell ref="C11:D11"/>
    <mergeCell ref="C12:D12"/>
    <mergeCell ref="C13:D13"/>
    <mergeCell ref="C14:D14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71"/>
    <col customWidth="1" min="3" max="3" width="16.14"/>
    <col customWidth="1" min="4" max="4" width="22.0"/>
    <col customWidth="1" min="5" max="6" width="10.71"/>
    <col customWidth="1" min="7" max="7" width="36.71"/>
    <col customWidth="1" min="8" max="8" width="20.57"/>
    <col customWidth="1" min="9" max="9" width="21.86"/>
    <col customWidth="1" min="10" max="11" width="10.71"/>
    <col customWidth="1" min="12" max="12" width="36.71"/>
    <col customWidth="1" min="13" max="13" width="20.57"/>
    <col customWidth="1" min="14" max="14" width="21.57"/>
    <col customWidth="1" min="15" max="24" width="10.71"/>
  </cols>
  <sheetData>
    <row r="1">
      <c r="A1" s="30" t="s">
        <v>1</v>
      </c>
      <c r="B1" s="10"/>
      <c r="C1" s="31" t="s">
        <v>2</v>
      </c>
      <c r="D1" s="10"/>
      <c r="E1" s="32"/>
      <c r="F1" s="30" t="s">
        <v>1</v>
      </c>
      <c r="G1" s="10"/>
      <c r="H1" s="31" t="s">
        <v>2</v>
      </c>
      <c r="I1" s="10"/>
      <c r="J1" s="32"/>
      <c r="K1" s="30" t="s">
        <v>1</v>
      </c>
      <c r="L1" s="10"/>
      <c r="M1" s="31" t="s">
        <v>2</v>
      </c>
      <c r="N1" s="10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35</v>
      </c>
      <c r="B2" s="10"/>
      <c r="C2" s="34">
        <v>46126.0</v>
      </c>
      <c r="D2" s="10"/>
      <c r="F2" s="33" t="s">
        <v>35</v>
      </c>
      <c r="G2" s="10"/>
      <c r="H2" s="34">
        <v>46126.0</v>
      </c>
      <c r="I2" s="10"/>
      <c r="K2" s="33" t="s">
        <v>35</v>
      </c>
      <c r="L2" s="10"/>
      <c r="M2" s="34">
        <v>46126.0</v>
      </c>
      <c r="N2" s="10"/>
    </row>
    <row r="3">
      <c r="A3" s="33" t="s">
        <v>36</v>
      </c>
      <c r="B3" s="10"/>
      <c r="C3" s="35" t="s">
        <v>37</v>
      </c>
      <c r="D3" s="10"/>
      <c r="F3" s="33" t="s">
        <v>36</v>
      </c>
      <c r="G3" s="10"/>
      <c r="H3" s="35" t="s">
        <v>38</v>
      </c>
      <c r="I3" s="10"/>
      <c r="K3" s="33" t="s">
        <v>36</v>
      </c>
      <c r="L3" s="10"/>
      <c r="M3" s="35" t="s">
        <v>39</v>
      </c>
      <c r="N3" s="10"/>
    </row>
    <row r="4">
      <c r="A4" s="33" t="s">
        <v>40</v>
      </c>
      <c r="B4" s="10"/>
      <c r="C4" s="35" t="s">
        <v>41</v>
      </c>
      <c r="D4" s="10"/>
      <c r="F4" s="33" t="s">
        <v>40</v>
      </c>
      <c r="G4" s="10"/>
      <c r="H4" s="35" t="s">
        <v>8</v>
      </c>
      <c r="I4" s="10"/>
      <c r="K4" s="33" t="s">
        <v>40</v>
      </c>
      <c r="L4" s="10"/>
      <c r="M4" s="35" t="s">
        <v>9</v>
      </c>
      <c r="N4" s="10"/>
    </row>
    <row r="5" ht="14.25" customHeight="1"/>
    <row r="6">
      <c r="A6" s="36" t="s">
        <v>42</v>
      </c>
      <c r="B6" s="9"/>
      <c r="C6" s="9"/>
      <c r="D6" s="10"/>
      <c r="F6" s="36" t="s">
        <v>42</v>
      </c>
      <c r="G6" s="9"/>
      <c r="H6" s="9"/>
      <c r="I6" s="10"/>
      <c r="K6" s="36" t="s">
        <v>42</v>
      </c>
      <c r="L6" s="9"/>
      <c r="M6" s="9"/>
      <c r="N6" s="10"/>
    </row>
    <row r="7">
      <c r="A7" s="37" t="s">
        <v>43</v>
      </c>
      <c r="B7" s="37" t="s">
        <v>44</v>
      </c>
      <c r="C7" s="37" t="s">
        <v>45</v>
      </c>
      <c r="D7" s="37" t="s">
        <v>46</v>
      </c>
      <c r="F7" s="37" t="s">
        <v>43</v>
      </c>
      <c r="G7" s="37" t="s">
        <v>44</v>
      </c>
      <c r="H7" s="37" t="s">
        <v>45</v>
      </c>
      <c r="I7" s="37" t="s">
        <v>46</v>
      </c>
      <c r="K7" s="37" t="s">
        <v>43</v>
      </c>
      <c r="L7" s="37" t="s">
        <v>44</v>
      </c>
      <c r="M7" s="37" t="s">
        <v>45</v>
      </c>
      <c r="N7" s="37" t="s">
        <v>46</v>
      </c>
    </row>
    <row r="8">
      <c r="A8" s="38">
        <v>1.0</v>
      </c>
      <c r="B8" s="39" t="s">
        <v>47</v>
      </c>
      <c r="C8" s="38" t="s">
        <v>48</v>
      </c>
      <c r="D8" s="38"/>
      <c r="F8" s="38">
        <v>1.0</v>
      </c>
      <c r="G8" s="39" t="s">
        <v>47</v>
      </c>
      <c r="H8" s="38" t="s">
        <v>48</v>
      </c>
      <c r="I8" s="38"/>
      <c r="K8" s="38">
        <v>1.0</v>
      </c>
      <c r="L8" s="39" t="s">
        <v>47</v>
      </c>
      <c r="M8" s="38" t="s">
        <v>48</v>
      </c>
      <c r="N8" s="38"/>
    </row>
    <row r="9">
      <c r="A9" s="38">
        <v>2.0</v>
      </c>
      <c r="B9" s="39" t="s">
        <v>49</v>
      </c>
      <c r="C9" s="38" t="s">
        <v>48</v>
      </c>
      <c r="D9" s="38"/>
      <c r="F9" s="38">
        <v>2.0</v>
      </c>
      <c r="G9" s="39" t="s">
        <v>49</v>
      </c>
      <c r="H9" s="38" t="s">
        <v>48</v>
      </c>
      <c r="I9" s="38"/>
      <c r="K9" s="38">
        <v>2.0</v>
      </c>
      <c r="L9" s="39" t="s">
        <v>49</v>
      </c>
      <c r="M9" s="38" t="s">
        <v>48</v>
      </c>
      <c r="N9" s="38"/>
    </row>
    <row r="10">
      <c r="A10" s="38">
        <v>3.0</v>
      </c>
      <c r="B10" s="39" t="s">
        <v>50</v>
      </c>
      <c r="C10" s="38" t="s">
        <v>48</v>
      </c>
      <c r="D10" s="38"/>
      <c r="F10" s="38">
        <v>3.0</v>
      </c>
      <c r="G10" s="39" t="s">
        <v>50</v>
      </c>
      <c r="H10" s="38"/>
      <c r="I10" s="40" t="s">
        <v>48</v>
      </c>
      <c r="K10" s="38">
        <v>3.0</v>
      </c>
      <c r="L10" s="39" t="s">
        <v>50</v>
      </c>
      <c r="N10" s="40" t="s">
        <v>48</v>
      </c>
    </row>
    <row r="11">
      <c r="A11" s="38">
        <v>4.0</v>
      </c>
      <c r="B11" s="39" t="s">
        <v>51</v>
      </c>
      <c r="C11" s="38" t="s">
        <v>48</v>
      </c>
      <c r="D11" s="38"/>
      <c r="F11" s="38">
        <v>4.0</v>
      </c>
      <c r="G11" s="39" t="s">
        <v>51</v>
      </c>
      <c r="H11" s="38" t="s">
        <v>48</v>
      </c>
      <c r="I11" s="38"/>
      <c r="K11" s="38">
        <v>4.0</v>
      </c>
      <c r="L11" s="39" t="s">
        <v>51</v>
      </c>
      <c r="M11" s="38" t="s">
        <v>48</v>
      </c>
      <c r="N11" s="38"/>
    </row>
    <row r="12">
      <c r="A12" s="38">
        <v>5.0</v>
      </c>
      <c r="B12" s="39" t="s">
        <v>52</v>
      </c>
      <c r="C12" s="38" t="s">
        <v>48</v>
      </c>
      <c r="D12" s="38"/>
      <c r="F12" s="38">
        <v>5.0</v>
      </c>
      <c r="G12" s="39" t="s">
        <v>52</v>
      </c>
      <c r="H12" s="38" t="s">
        <v>48</v>
      </c>
      <c r="I12" s="38"/>
      <c r="K12" s="38">
        <v>5.0</v>
      </c>
      <c r="L12" s="39" t="s">
        <v>52</v>
      </c>
      <c r="M12" s="38" t="s">
        <v>48</v>
      </c>
      <c r="N12" s="38"/>
    </row>
    <row r="13">
      <c r="A13" s="38">
        <v>6.0</v>
      </c>
      <c r="B13" s="39" t="s">
        <v>53</v>
      </c>
      <c r="C13" s="38" t="s">
        <v>48</v>
      </c>
      <c r="D13" s="38"/>
      <c r="F13" s="38">
        <v>6.0</v>
      </c>
      <c r="G13" s="39" t="s">
        <v>53</v>
      </c>
      <c r="H13" s="38" t="s">
        <v>48</v>
      </c>
      <c r="I13" s="38"/>
      <c r="K13" s="38">
        <v>6.0</v>
      </c>
      <c r="L13" s="39" t="s">
        <v>53</v>
      </c>
      <c r="M13" s="38" t="s">
        <v>48</v>
      </c>
      <c r="N13" s="38"/>
    </row>
    <row r="14">
      <c r="A14" s="38">
        <v>7.0</v>
      </c>
      <c r="B14" s="39" t="s">
        <v>54</v>
      </c>
      <c r="C14" s="38" t="s">
        <v>48</v>
      </c>
      <c r="D14" s="38"/>
      <c r="F14" s="38">
        <v>7.0</v>
      </c>
      <c r="G14" s="39" t="s">
        <v>54</v>
      </c>
      <c r="H14" s="38" t="s">
        <v>48</v>
      </c>
      <c r="I14" s="38"/>
      <c r="K14" s="38">
        <v>7.0</v>
      </c>
      <c r="L14" s="39" t="s">
        <v>54</v>
      </c>
      <c r="M14" s="38" t="s">
        <v>48</v>
      </c>
      <c r="N14" s="38"/>
    </row>
    <row r="15">
      <c r="A15" s="38">
        <v>8.0</v>
      </c>
      <c r="B15" s="39" t="s">
        <v>55</v>
      </c>
      <c r="C15" s="38" t="s">
        <v>48</v>
      </c>
      <c r="D15" s="38"/>
      <c r="F15" s="38">
        <v>8.0</v>
      </c>
      <c r="G15" s="39" t="s">
        <v>55</v>
      </c>
      <c r="H15" s="38" t="s">
        <v>48</v>
      </c>
      <c r="I15" s="38"/>
      <c r="K15" s="38">
        <v>8.0</v>
      </c>
      <c r="L15" s="39" t="s">
        <v>55</v>
      </c>
      <c r="M15" s="38" t="s">
        <v>48</v>
      </c>
      <c r="N15" s="38"/>
    </row>
    <row r="16">
      <c r="A16" s="38">
        <v>9.0</v>
      </c>
      <c r="B16" s="39" t="s">
        <v>56</v>
      </c>
      <c r="C16" s="41" t="s">
        <v>48</v>
      </c>
      <c r="D16" s="38"/>
      <c r="F16" s="38">
        <v>9.0</v>
      </c>
      <c r="G16" s="39" t="s">
        <v>56</v>
      </c>
      <c r="H16" s="41" t="s">
        <v>48</v>
      </c>
      <c r="I16" s="38"/>
      <c r="K16" s="38">
        <v>9.0</v>
      </c>
      <c r="L16" s="39" t="s">
        <v>56</v>
      </c>
      <c r="M16" s="41" t="s">
        <v>48</v>
      </c>
      <c r="N16" s="38"/>
    </row>
    <row r="17">
      <c r="A17" s="42" t="s">
        <v>57</v>
      </c>
      <c r="B17" s="10"/>
      <c r="C17" s="17">
        <f>COUNTA('MODELO LISTA DE COMPROBACION'!$C$8:$C$16)</f>
        <v>9</v>
      </c>
      <c r="D17" s="17">
        <f>COUNTA('MODELO LISTA DE COMPROBACION'!$D$8:$D$16)</f>
        <v>0</v>
      </c>
      <c r="F17" s="42" t="s">
        <v>57</v>
      </c>
      <c r="G17" s="10"/>
      <c r="H17" s="43">
        <v>8.0</v>
      </c>
      <c r="I17" s="43">
        <v>1.0</v>
      </c>
      <c r="K17" s="42" t="s">
        <v>57</v>
      </c>
      <c r="L17" s="10"/>
      <c r="M17" s="17">
        <f>COUNTA('MODELO LISTA DE COMPROBACION'!$M$8:$M$16)</f>
        <v>8</v>
      </c>
      <c r="N17" s="17">
        <f>COUNTA('MODELO LISTA DE COMPROBACION'!$N$8:$N$16)</f>
        <v>1</v>
      </c>
    </row>
    <row r="18">
      <c r="A18" s="42" t="s">
        <v>58</v>
      </c>
      <c r="B18" s="10"/>
      <c r="C18" s="44">
        <f t="shared" ref="C18:D18" si="1">C17/9</f>
        <v>1</v>
      </c>
      <c r="D18" s="44">
        <f t="shared" si="1"/>
        <v>0</v>
      </c>
      <c r="F18" s="42" t="s">
        <v>58</v>
      </c>
      <c r="G18" s="10"/>
      <c r="H18" s="44">
        <f t="shared" ref="H18:I18" si="2">H17/9</f>
        <v>0.8888888889</v>
      </c>
      <c r="I18" s="44">
        <f t="shared" si="2"/>
        <v>0.1111111111</v>
      </c>
      <c r="K18" s="42" t="s">
        <v>58</v>
      </c>
      <c r="L18" s="10"/>
      <c r="M18" s="44">
        <f t="shared" ref="M18:N18" si="3">M17/9</f>
        <v>0.8888888889</v>
      </c>
      <c r="N18" s="44">
        <f t="shared" si="3"/>
        <v>0.1111111111</v>
      </c>
    </row>
    <row r="19" ht="14.25" customHeight="1">
      <c r="A19" s="45"/>
      <c r="B19" s="45"/>
      <c r="C19" s="46"/>
      <c r="D19" s="24"/>
      <c r="F19" s="45"/>
      <c r="G19" s="45"/>
      <c r="H19" s="46"/>
      <c r="I19" s="24"/>
      <c r="K19" s="45"/>
      <c r="L19" s="45"/>
      <c r="M19" s="46"/>
      <c r="N19" s="24"/>
    </row>
    <row r="20">
      <c r="A20" s="36" t="s">
        <v>59</v>
      </c>
      <c r="B20" s="9"/>
      <c r="C20" s="9"/>
      <c r="D20" s="10"/>
      <c r="F20" s="36" t="s">
        <v>59</v>
      </c>
      <c r="G20" s="9"/>
      <c r="H20" s="9"/>
      <c r="I20" s="10"/>
      <c r="K20" s="36" t="s">
        <v>59</v>
      </c>
      <c r="L20" s="9"/>
      <c r="M20" s="9"/>
      <c r="N20" s="10"/>
    </row>
    <row r="21">
      <c r="A21" s="47" t="s">
        <v>43</v>
      </c>
      <c r="B21" s="47" t="s">
        <v>44</v>
      </c>
      <c r="C21" s="48" t="s">
        <v>45</v>
      </c>
      <c r="D21" s="48" t="s">
        <v>46</v>
      </c>
      <c r="F21" s="47" t="s">
        <v>43</v>
      </c>
      <c r="G21" s="47" t="s">
        <v>44</v>
      </c>
      <c r="H21" s="48" t="s">
        <v>45</v>
      </c>
      <c r="I21" s="48" t="s">
        <v>46</v>
      </c>
      <c r="K21" s="47" t="s">
        <v>43</v>
      </c>
      <c r="L21" s="47" t="s">
        <v>44</v>
      </c>
      <c r="M21" s="48" t="s">
        <v>45</v>
      </c>
      <c r="N21" s="48" t="s">
        <v>46</v>
      </c>
    </row>
    <row r="22">
      <c r="A22" s="38">
        <v>1.0</v>
      </c>
      <c r="B22" s="39" t="s">
        <v>60</v>
      </c>
      <c r="C22" s="38" t="s">
        <v>48</v>
      </c>
      <c r="D22" s="38"/>
      <c r="F22" s="38">
        <v>1.0</v>
      </c>
      <c r="G22" s="39" t="s">
        <v>60</v>
      </c>
      <c r="H22" s="38" t="s">
        <v>48</v>
      </c>
      <c r="I22" s="38"/>
      <c r="K22" s="38">
        <v>1.0</v>
      </c>
      <c r="L22" s="39" t="s">
        <v>60</v>
      </c>
      <c r="M22" s="38" t="s">
        <v>48</v>
      </c>
      <c r="N22" s="38"/>
    </row>
    <row r="23">
      <c r="A23" s="38">
        <v>2.0</v>
      </c>
      <c r="B23" s="39" t="s">
        <v>61</v>
      </c>
      <c r="C23" s="38" t="s">
        <v>48</v>
      </c>
      <c r="D23" s="38"/>
      <c r="F23" s="38">
        <v>2.0</v>
      </c>
      <c r="G23" s="39" t="s">
        <v>61</v>
      </c>
      <c r="H23" s="38" t="s">
        <v>48</v>
      </c>
      <c r="I23" s="38"/>
      <c r="K23" s="38">
        <v>2.0</v>
      </c>
      <c r="L23" s="39" t="s">
        <v>61</v>
      </c>
      <c r="M23" s="38" t="s">
        <v>48</v>
      </c>
      <c r="N23" s="38"/>
    </row>
    <row r="24">
      <c r="A24" s="38">
        <v>3.0</v>
      </c>
      <c r="B24" s="39" t="s">
        <v>62</v>
      </c>
      <c r="C24" s="38" t="s">
        <v>48</v>
      </c>
      <c r="D24" s="38"/>
      <c r="F24" s="38">
        <v>3.0</v>
      </c>
      <c r="G24" s="39" t="s">
        <v>62</v>
      </c>
      <c r="H24" s="38" t="s">
        <v>48</v>
      </c>
      <c r="I24" s="38"/>
      <c r="K24" s="38">
        <v>3.0</v>
      </c>
      <c r="L24" s="39" t="s">
        <v>62</v>
      </c>
      <c r="M24" s="38" t="s">
        <v>48</v>
      </c>
      <c r="N24" s="38"/>
    </row>
    <row r="25">
      <c r="A25" s="38">
        <v>4.0</v>
      </c>
      <c r="B25" s="39" t="s">
        <v>63</v>
      </c>
      <c r="C25" s="38" t="s">
        <v>48</v>
      </c>
      <c r="D25" s="38"/>
      <c r="F25" s="38">
        <v>4.0</v>
      </c>
      <c r="G25" s="39" t="s">
        <v>63</v>
      </c>
      <c r="H25" s="38" t="s">
        <v>48</v>
      </c>
      <c r="I25" s="38"/>
      <c r="K25" s="38">
        <v>4.0</v>
      </c>
      <c r="L25" s="39" t="s">
        <v>63</v>
      </c>
      <c r="M25" s="38" t="s">
        <v>48</v>
      </c>
      <c r="N25" s="38"/>
    </row>
    <row r="26">
      <c r="A26" s="38">
        <v>5.0</v>
      </c>
      <c r="B26" s="39" t="s">
        <v>64</v>
      </c>
      <c r="C26" s="38" t="s">
        <v>48</v>
      </c>
      <c r="D26" s="38"/>
      <c r="F26" s="38">
        <v>5.0</v>
      </c>
      <c r="G26" s="39" t="s">
        <v>64</v>
      </c>
      <c r="H26" s="38" t="s">
        <v>48</v>
      </c>
      <c r="I26" s="38"/>
      <c r="K26" s="38">
        <v>5.0</v>
      </c>
      <c r="L26" s="39" t="s">
        <v>64</v>
      </c>
      <c r="M26" s="38" t="s">
        <v>48</v>
      </c>
      <c r="N26" s="38"/>
    </row>
    <row r="27">
      <c r="A27" s="42" t="s">
        <v>57</v>
      </c>
      <c r="B27" s="10"/>
      <c r="C27" s="17">
        <f>COUNTA('MODELO LISTA DE COMPROBACION'!$C$22:$C$26)</f>
        <v>5</v>
      </c>
      <c r="D27" s="17">
        <f>COUNTA('MODELO LISTA DE COMPROBACION'!$D$22:$D$26)</f>
        <v>0</v>
      </c>
      <c r="F27" s="42" t="s">
        <v>57</v>
      </c>
      <c r="G27" s="10"/>
      <c r="H27" s="17">
        <f>COUNTA('MODELO LISTA DE COMPROBACION'!$C$22:$C$26)</f>
        <v>5</v>
      </c>
      <c r="I27" s="17">
        <f>COUNTA('MODELO LISTA DE COMPROBACION'!$D$22:$D$26)</f>
        <v>0</v>
      </c>
      <c r="K27" s="42" t="s">
        <v>57</v>
      </c>
      <c r="L27" s="10"/>
      <c r="M27" s="17">
        <f>COUNTA('MODELO LISTA DE COMPROBACION'!$C$22:$C$26)</f>
        <v>5</v>
      </c>
      <c r="N27" s="17">
        <f>COUNTA('MODELO LISTA DE COMPROBACION'!$D$22:$D$26)</f>
        <v>0</v>
      </c>
    </row>
    <row r="28">
      <c r="A28" s="42" t="s">
        <v>58</v>
      </c>
      <c r="B28" s="10"/>
      <c r="C28" s="44">
        <f t="shared" ref="C28:D28" si="4">C27/5</f>
        <v>1</v>
      </c>
      <c r="D28" s="44">
        <f t="shared" si="4"/>
        <v>0</v>
      </c>
      <c r="F28" s="42" t="s">
        <v>58</v>
      </c>
      <c r="G28" s="10"/>
      <c r="H28" s="44">
        <f t="shared" ref="H28:I28" si="5">H27/5</f>
        <v>1</v>
      </c>
      <c r="I28" s="44">
        <f t="shared" si="5"/>
        <v>0</v>
      </c>
      <c r="K28" s="42" t="s">
        <v>58</v>
      </c>
      <c r="L28" s="10"/>
      <c r="M28" s="44">
        <f t="shared" ref="M28:N28" si="6">M27/5</f>
        <v>1</v>
      </c>
      <c r="N28" s="44">
        <f t="shared" si="6"/>
        <v>0</v>
      </c>
    </row>
    <row r="29" ht="14.25" customHeight="1">
      <c r="A29" s="45"/>
      <c r="B29" s="45"/>
      <c r="C29" s="46"/>
      <c r="D29" s="24"/>
      <c r="F29" s="45"/>
      <c r="G29" s="45"/>
      <c r="H29" s="46"/>
      <c r="I29" s="24"/>
      <c r="K29" s="45"/>
      <c r="L29" s="45"/>
      <c r="M29" s="46"/>
      <c r="N29" s="24"/>
    </row>
    <row r="30">
      <c r="A30" s="36" t="s">
        <v>65</v>
      </c>
      <c r="B30" s="9"/>
      <c r="C30" s="9"/>
      <c r="D30" s="10"/>
      <c r="F30" s="36" t="s">
        <v>65</v>
      </c>
      <c r="G30" s="9"/>
      <c r="H30" s="9"/>
      <c r="I30" s="10"/>
      <c r="K30" s="36" t="s">
        <v>65</v>
      </c>
      <c r="L30" s="9"/>
      <c r="M30" s="9"/>
      <c r="N30" s="10"/>
    </row>
    <row r="31">
      <c r="A31" s="47" t="s">
        <v>43</v>
      </c>
      <c r="B31" s="47" t="s">
        <v>44</v>
      </c>
      <c r="C31" s="48" t="s">
        <v>45</v>
      </c>
      <c r="D31" s="48" t="s">
        <v>46</v>
      </c>
      <c r="F31" s="47" t="s">
        <v>43</v>
      </c>
      <c r="G31" s="47" t="s">
        <v>44</v>
      </c>
      <c r="H31" s="48" t="s">
        <v>45</v>
      </c>
      <c r="I31" s="48" t="s">
        <v>46</v>
      </c>
      <c r="K31" s="47" t="s">
        <v>43</v>
      </c>
      <c r="L31" s="47" t="s">
        <v>44</v>
      </c>
      <c r="M31" s="48" t="s">
        <v>45</v>
      </c>
      <c r="N31" s="48" t="s">
        <v>46</v>
      </c>
    </row>
    <row r="32">
      <c r="A32" s="38">
        <v>1.0</v>
      </c>
      <c r="B32" s="39" t="s">
        <v>66</v>
      </c>
      <c r="C32" s="38" t="s">
        <v>48</v>
      </c>
      <c r="D32" s="38"/>
      <c r="F32" s="38">
        <v>1.0</v>
      </c>
      <c r="G32" s="39" t="s">
        <v>66</v>
      </c>
      <c r="H32" s="38" t="s">
        <v>48</v>
      </c>
      <c r="I32" s="38"/>
      <c r="K32" s="38">
        <v>1.0</v>
      </c>
      <c r="L32" s="39" t="s">
        <v>66</v>
      </c>
      <c r="M32" s="38" t="s">
        <v>48</v>
      </c>
      <c r="N32" s="38"/>
    </row>
    <row r="33">
      <c r="A33" s="38">
        <v>2.0</v>
      </c>
      <c r="B33" s="39" t="s">
        <v>67</v>
      </c>
      <c r="C33" s="38" t="s">
        <v>48</v>
      </c>
      <c r="D33" s="38"/>
      <c r="F33" s="38">
        <v>2.0</v>
      </c>
      <c r="G33" s="39" t="s">
        <v>67</v>
      </c>
      <c r="H33" s="38" t="s">
        <v>48</v>
      </c>
      <c r="I33" s="38"/>
      <c r="K33" s="38">
        <v>2.0</v>
      </c>
      <c r="L33" s="39" t="s">
        <v>67</v>
      </c>
      <c r="M33" s="38" t="s">
        <v>48</v>
      </c>
      <c r="N33" s="38"/>
    </row>
    <row r="34">
      <c r="A34" s="38">
        <v>3.0</v>
      </c>
      <c r="B34" s="39" t="s">
        <v>68</v>
      </c>
      <c r="C34" s="38" t="s">
        <v>48</v>
      </c>
      <c r="D34" s="38"/>
      <c r="F34" s="38">
        <v>3.0</v>
      </c>
      <c r="G34" s="39" t="s">
        <v>68</v>
      </c>
      <c r="H34" s="38" t="s">
        <v>48</v>
      </c>
      <c r="I34" s="38"/>
      <c r="K34" s="38">
        <v>3.0</v>
      </c>
      <c r="L34" s="39" t="s">
        <v>68</v>
      </c>
      <c r="M34" s="38" t="s">
        <v>48</v>
      </c>
      <c r="N34" s="38"/>
    </row>
    <row r="35">
      <c r="A35" s="42" t="s">
        <v>57</v>
      </c>
      <c r="B35" s="10"/>
      <c r="C35" s="17">
        <f>COUNTA('MODELO LISTA DE COMPROBACION'!$C$32:$C$34)</f>
        <v>3</v>
      </c>
      <c r="D35" s="17">
        <f>COUNTA('MODELO LISTA DE COMPROBACION'!$D$32:$D$34)</f>
        <v>0</v>
      </c>
      <c r="F35" s="42" t="s">
        <v>57</v>
      </c>
      <c r="G35" s="10"/>
      <c r="H35" s="17">
        <f>COUNTA('MODELO LISTA DE COMPROBACION'!$C$32:$C$34)</f>
        <v>3</v>
      </c>
      <c r="I35" s="17">
        <f>COUNTA('MODELO LISTA DE COMPROBACION'!$D$32:$D$34)</f>
        <v>0</v>
      </c>
      <c r="K35" s="42" t="s">
        <v>57</v>
      </c>
      <c r="L35" s="10"/>
      <c r="M35" s="17">
        <f>COUNTA('MODELO LISTA DE COMPROBACION'!$C$32:$C$34)</f>
        <v>3</v>
      </c>
      <c r="N35" s="17">
        <f>COUNTA('MODELO LISTA DE COMPROBACION'!$D$32:$D$34)</f>
        <v>0</v>
      </c>
    </row>
    <row r="36">
      <c r="A36" s="42" t="s">
        <v>58</v>
      </c>
      <c r="B36" s="10"/>
      <c r="C36" s="44">
        <f t="shared" ref="C36:D36" si="7">C35/3</f>
        <v>1</v>
      </c>
      <c r="D36" s="44">
        <f t="shared" si="7"/>
        <v>0</v>
      </c>
      <c r="F36" s="42" t="s">
        <v>58</v>
      </c>
      <c r="G36" s="10"/>
      <c r="H36" s="44">
        <f t="shared" ref="H36:I36" si="8">H35/3</f>
        <v>1</v>
      </c>
      <c r="I36" s="44">
        <f t="shared" si="8"/>
        <v>0</v>
      </c>
      <c r="K36" s="42" t="s">
        <v>58</v>
      </c>
      <c r="L36" s="10"/>
      <c r="M36" s="44">
        <f t="shared" ref="M36:N36" si="9">M35/3</f>
        <v>1</v>
      </c>
      <c r="N36" s="44">
        <f t="shared" si="9"/>
        <v>0</v>
      </c>
    </row>
    <row r="37" ht="14.25" customHeight="1"/>
    <row r="38" ht="14.25" customHeight="1"/>
    <row r="39" ht="14.25" customHeight="1"/>
    <row r="40" ht="14.25" customHeight="1">
      <c r="B40" s="49" t="s">
        <v>69</v>
      </c>
      <c r="C40" s="10"/>
      <c r="G40" s="49" t="s">
        <v>69</v>
      </c>
      <c r="H40" s="10"/>
      <c r="I40" s="50"/>
      <c r="L40" s="49" t="s">
        <v>69</v>
      </c>
      <c r="M40" s="10"/>
      <c r="N40" s="50"/>
    </row>
    <row r="41" ht="30.0" customHeight="1">
      <c r="B41" s="51" t="s">
        <v>70</v>
      </c>
      <c r="C41" s="43">
        <v>100.0</v>
      </c>
      <c r="G41" s="51" t="s">
        <v>70</v>
      </c>
      <c r="H41" s="43">
        <v>89.0</v>
      </c>
      <c r="I41" s="52"/>
      <c r="L41" s="51" t="s">
        <v>70</v>
      </c>
      <c r="M41" s="43">
        <v>89.0</v>
      </c>
      <c r="N41" s="52"/>
    </row>
    <row r="42" ht="30.0" customHeight="1">
      <c r="B42" s="51" t="s">
        <v>59</v>
      </c>
      <c r="C42" s="43">
        <v>100.0</v>
      </c>
      <c r="G42" s="51" t="s">
        <v>59</v>
      </c>
      <c r="H42" s="43">
        <v>100.0</v>
      </c>
      <c r="I42" s="52"/>
      <c r="L42" s="51" t="s">
        <v>59</v>
      </c>
      <c r="M42" s="43">
        <v>100.0</v>
      </c>
      <c r="N42" s="52"/>
    </row>
    <row r="43" ht="30.0" customHeight="1">
      <c r="B43" s="51" t="s">
        <v>65</v>
      </c>
      <c r="C43" s="17">
        <v>100.0</v>
      </c>
      <c r="G43" s="51" t="s">
        <v>65</v>
      </c>
      <c r="H43" s="17">
        <v>100.0</v>
      </c>
      <c r="I43" s="24"/>
      <c r="L43" s="51" t="s">
        <v>65</v>
      </c>
      <c r="M43" s="17">
        <v>100.0</v>
      </c>
      <c r="N43" s="24"/>
    </row>
    <row r="44" ht="14.25" customHeight="1">
      <c r="C44" s="24"/>
    </row>
    <row r="45" ht="14.25" customHeight="1">
      <c r="C45" s="2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K36:L36"/>
    <mergeCell ref="L40:M40"/>
    <mergeCell ref="K17:L17"/>
    <mergeCell ref="K18:L18"/>
    <mergeCell ref="K20:N20"/>
    <mergeCell ref="K27:L27"/>
    <mergeCell ref="K28:L28"/>
    <mergeCell ref="K30:N30"/>
    <mergeCell ref="K35:L35"/>
    <mergeCell ref="A1:B1"/>
    <mergeCell ref="C1:D1"/>
    <mergeCell ref="H1:I1"/>
    <mergeCell ref="M1:N1"/>
    <mergeCell ref="C2:D2"/>
    <mergeCell ref="H2:I2"/>
    <mergeCell ref="M2:N2"/>
    <mergeCell ref="F1:G1"/>
    <mergeCell ref="F2:G2"/>
    <mergeCell ref="F3:G3"/>
    <mergeCell ref="H3:I3"/>
    <mergeCell ref="F4:G4"/>
    <mergeCell ref="H4:I4"/>
    <mergeCell ref="F6:I6"/>
    <mergeCell ref="K1:L1"/>
    <mergeCell ref="K2:L2"/>
    <mergeCell ref="K3:L3"/>
    <mergeCell ref="M3:N3"/>
    <mergeCell ref="K4:L4"/>
    <mergeCell ref="M4:N4"/>
    <mergeCell ref="K6:N6"/>
    <mergeCell ref="A18:B18"/>
    <mergeCell ref="A20:D20"/>
    <mergeCell ref="A27:B27"/>
    <mergeCell ref="A28:B28"/>
    <mergeCell ref="A30:D30"/>
    <mergeCell ref="A35:B35"/>
    <mergeCell ref="A36:B36"/>
    <mergeCell ref="B40:C40"/>
    <mergeCell ref="A2:B2"/>
    <mergeCell ref="A3:B3"/>
    <mergeCell ref="C3:D3"/>
    <mergeCell ref="A4:B4"/>
    <mergeCell ref="C4:D4"/>
    <mergeCell ref="A6:D6"/>
    <mergeCell ref="A17:B17"/>
    <mergeCell ref="F36:G36"/>
    <mergeCell ref="G40:H40"/>
    <mergeCell ref="F17:G17"/>
    <mergeCell ref="F18:G18"/>
    <mergeCell ref="F20:I20"/>
    <mergeCell ref="F27:G27"/>
    <mergeCell ref="F28:G28"/>
    <mergeCell ref="F30:I30"/>
    <mergeCell ref="F35:G35"/>
  </mergeCells>
  <conditionalFormatting sqref="A32:D34 F32:I34 K32:N34">
    <cfRule type="containsText" dxfId="8" priority="1" operator="containsText" text="X">
      <formula>NOT(ISERROR(SEARCH(("X"),(A32))))</formula>
    </cfRule>
  </conditionalFormatting>
  <conditionalFormatting sqref="C8:D16 H8:I16 M8:N16 C22:C26 H22:H26 M22:M26 C32:D34 H32:I34 M32:N34">
    <cfRule type="containsText" dxfId="9" priority="2" operator="containsText" text="X">
      <formula>NOT(ISERROR(SEARCH(("X"),(C8))))</formula>
    </cfRule>
  </conditionalFormatting>
  <conditionalFormatting sqref="C8:D16 H8:I16 M8:N16 C22:C26 H22:H26 M22:M26 C32:D34 H32:I34 M32:N34">
    <cfRule type="containsText" dxfId="10" priority="3" operator="containsText" text="X">
      <formula>NOT(ISERROR(SEARCH(("X"),(C8))))</formula>
    </cfRule>
  </conditionalFormatting>
  <conditionalFormatting sqref="C8:D16 H8:I16 M8:N16 C22:C26 H22:H26 M22:M26 C32:D34 H32:I34 M32:N34">
    <cfRule type="containsText" dxfId="11" priority="4" operator="containsText" text="X">
      <formula>NOT(ISERROR(SEARCH(("X"),(C8))))</formula>
    </cfRule>
  </conditionalFormatting>
  <conditionalFormatting sqref="C8:D16 H8:I16 M8:N16 C22:C26 H22:H26 M22:M26 C32:D34 H32:I34 M32:N34">
    <cfRule type="containsText" dxfId="12" priority="5" operator="containsText" text="X">
      <formula>NOT(ISERROR(SEARCH(("X"),(C8))))</formula>
    </cfRule>
  </conditionalFormatting>
  <conditionalFormatting sqref="C22:D26 H22:I26 M22:N26">
    <cfRule type="containsText" dxfId="9" priority="6" operator="containsText" text="X">
      <formula>NOT(ISERROR(SEARCH(("X"),(C22))))</formula>
    </cfRule>
  </conditionalFormatting>
  <conditionalFormatting sqref="C22:D26 H22:I26 M22:N26">
    <cfRule type="containsText" dxfId="10" priority="7" operator="containsText" text="X">
      <formula>NOT(ISERROR(SEARCH(("X"),(C22))))</formula>
    </cfRule>
  </conditionalFormatting>
  <conditionalFormatting sqref="C32:D34 H32:I34 M32:N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9"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3" width="4.57"/>
    <col customWidth="1" min="4" max="4" width="4.71"/>
    <col customWidth="1" min="5" max="5" width="50.71"/>
    <col customWidth="1" min="6" max="6" width="57.14"/>
    <col customWidth="1" min="7" max="7" width="4.43"/>
    <col customWidth="1" min="8" max="8" width="4.29"/>
    <col customWidth="1" min="9" max="9" width="50.71"/>
    <col customWidth="1" min="10" max="10" width="58.29"/>
  </cols>
  <sheetData>
    <row r="1" ht="14.25" customHeight="1">
      <c r="A1" s="53" t="s">
        <v>71</v>
      </c>
      <c r="E1" s="53" t="s">
        <v>72</v>
      </c>
      <c r="I1" s="53" t="s">
        <v>73</v>
      </c>
    </row>
    <row r="2" ht="14.25" customHeight="1">
      <c r="A2" s="54" t="s">
        <v>74</v>
      </c>
      <c r="B2" s="54" t="s">
        <v>75</v>
      </c>
      <c r="E2" s="54" t="s">
        <v>74</v>
      </c>
      <c r="F2" s="54" t="s">
        <v>75</v>
      </c>
      <c r="I2" s="54" t="s">
        <v>74</v>
      </c>
      <c r="J2" s="54" t="s">
        <v>75</v>
      </c>
    </row>
    <row r="3">
      <c r="A3" s="55" t="s">
        <v>76</v>
      </c>
      <c r="B3" s="56" t="s">
        <v>77</v>
      </c>
      <c r="E3" s="55" t="s">
        <v>76</v>
      </c>
      <c r="F3" s="56" t="s">
        <v>78</v>
      </c>
      <c r="I3" s="55" t="s">
        <v>76</v>
      </c>
      <c r="J3" s="56" t="s">
        <v>79</v>
      </c>
    </row>
    <row r="4">
      <c r="A4" s="17" t="s">
        <v>80</v>
      </c>
      <c r="B4" s="56" t="s">
        <v>81</v>
      </c>
      <c r="E4" s="17" t="s">
        <v>80</v>
      </c>
      <c r="F4" s="56" t="s">
        <v>82</v>
      </c>
      <c r="I4" s="17" t="s">
        <v>80</v>
      </c>
      <c r="J4" s="56" t="s">
        <v>83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B1"/>
    <mergeCell ref="E1:F1"/>
    <mergeCell ref="I1:J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2026-04-14T13:46:44Z</dcterms:created>
  <dc:creator>DYNABOOK</dc:creator>
</cp:coreProperties>
</file>