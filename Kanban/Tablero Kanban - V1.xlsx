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6to semestre\Analisi y diseño\AlexCuzco_30724_G5_ADSW\Kanban\"/>
    </mc:Choice>
  </mc:AlternateContent>
  <xr:revisionPtr revIDLastSave="0" documentId="13_ncr:1_{286732E0-E149-41DA-9300-2C084157C4C5}" xr6:coauthVersionLast="47" xr6:coauthVersionMax="47" xr10:uidLastSave="{00000000-0000-0000-0000-000000000000}"/>
  <workbookProtection lockStructure="1"/>
  <bookViews>
    <workbookView xWindow="-110" yWindow="-110" windowWidth="19420" windowHeight="1042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D46" i="5" s="1" a="1"/>
  <c r="D46" i="5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6" i="5" l="1" a="1"/>
  <c r="D16" i="5" s="1"/>
  <c r="D31" i="5" a="1"/>
  <c r="D31" i="5" s="1"/>
  <c r="D12" i="5" a="1"/>
  <c r="D12" i="5" s="1"/>
  <c r="D9" i="5" a="1"/>
  <c r="D9" i="5" s="1"/>
  <c r="D24" i="5" a="1"/>
  <c r="D24" i="5" s="1"/>
  <c r="D27" i="5" a="1"/>
  <c r="D27" i="5" s="1"/>
  <c r="D39" i="5" a="1"/>
  <c r="D39" i="5" s="1"/>
  <c r="D14" i="5" a="1"/>
  <c r="D14" i="5" s="1"/>
  <c r="D6" i="5" a="1"/>
  <c r="D6" i="5" s="1"/>
  <c r="D34" i="5" a="1"/>
  <c r="D34" i="5" s="1"/>
  <c r="D25" i="5" a="1"/>
  <c r="D25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82" i="5"/>
  <c r="K60" i="5"/>
  <c r="K76" i="5"/>
  <c r="K90" i="5"/>
  <c r="K83" i="5"/>
  <c r="K87" i="5"/>
  <c r="K3" i="5"/>
  <c r="K71" i="5"/>
  <c r="K54" i="5"/>
  <c r="K92" i="5"/>
  <c r="K47" i="5"/>
  <c r="K89" i="5"/>
  <c r="K7" i="5"/>
  <c r="K97" i="5"/>
  <c r="K88" i="5"/>
  <c r="K45" i="5"/>
  <c r="K15" i="5"/>
  <c r="K5" i="5"/>
  <c r="K8" i="5"/>
  <c r="K84" i="5"/>
  <c r="K64" i="5"/>
  <c r="K21" i="5"/>
  <c r="K38" i="5"/>
  <c r="K9" i="5"/>
  <c r="K30" i="5"/>
  <c r="K41" i="5"/>
  <c r="K23" i="5"/>
  <c r="K91" i="5"/>
  <c r="K53" i="5"/>
  <c r="K40" i="5"/>
  <c r="K32" i="5"/>
  <c r="K67" i="5"/>
  <c r="K25" i="5"/>
  <c r="K73" i="5"/>
  <c r="K2" i="5"/>
  <c r="K11" i="5"/>
  <c r="K58" i="5"/>
  <c r="K19" i="5"/>
  <c r="K18" i="5"/>
  <c r="K101" i="5"/>
  <c r="K93" i="5"/>
  <c r="K56" i="5"/>
  <c r="K79" i="5"/>
  <c r="K62" i="5"/>
  <c r="K69" i="5"/>
  <c r="K44" i="5"/>
  <c r="K57" i="5"/>
  <c r="K42" i="5"/>
  <c r="K12" i="5"/>
  <c r="K24" i="5"/>
  <c r="K48" i="5"/>
  <c r="K74" i="5"/>
  <c r="K78" i="5"/>
  <c r="K16" i="5"/>
  <c r="K35" i="5"/>
  <c r="K36" i="5"/>
  <c r="K75" i="5"/>
  <c r="K22" i="5"/>
  <c r="K49" i="5"/>
  <c r="K80" i="5"/>
  <c r="K100" i="5"/>
  <c r="K52" i="5"/>
  <c r="K51" i="5"/>
  <c r="K14" i="5"/>
  <c r="K77" i="5"/>
  <c r="K28" i="5"/>
  <c r="K98" i="5"/>
  <c r="K94" i="5"/>
  <c r="K50" i="5"/>
  <c r="K37" i="5"/>
  <c r="K86" i="5"/>
  <c r="K63" i="5"/>
  <c r="K70" i="5"/>
  <c r="K31" i="5"/>
  <c r="K13" i="5"/>
  <c r="K27" i="5"/>
  <c r="K66" i="5"/>
  <c r="K39" i="5"/>
  <c r="K17" i="5"/>
  <c r="K10" i="5"/>
  <c r="K6" i="5"/>
  <c r="K55" i="5"/>
  <c r="K29" i="5"/>
  <c r="K34" i="5"/>
  <c r="K59" i="5"/>
  <c r="K96" i="5"/>
  <c r="K20" i="5"/>
  <c r="K72" i="5"/>
  <c r="K33" i="5"/>
  <c r="K81" i="5"/>
  <c r="K95" i="5"/>
  <c r="K85" i="5"/>
  <c r="K46" i="5"/>
  <c r="K99" i="5"/>
  <c r="K43" i="5"/>
  <c r="K61" i="5"/>
  <c r="K26" i="5"/>
  <c r="K65" i="5"/>
  <c r="K68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51" i="5"/>
  <c r="M38" i="5"/>
  <c r="M54" i="5"/>
  <c r="L63" i="5"/>
  <c r="L92" i="5"/>
  <c r="M75" i="5"/>
  <c r="M59" i="5"/>
  <c r="N99" i="5"/>
  <c r="M7" i="5"/>
  <c r="M2" i="5"/>
  <c r="L17" i="5"/>
  <c r="L24" i="5"/>
  <c r="L55" i="5"/>
  <c r="N63" i="5"/>
  <c r="N38" i="5"/>
  <c r="L35" i="5"/>
  <c r="M32" i="5"/>
  <c r="N50" i="5"/>
  <c r="N22" i="5"/>
  <c r="N61" i="5"/>
  <c r="L47" i="5"/>
  <c r="M93" i="5"/>
  <c r="L41" i="5"/>
  <c r="M78" i="5"/>
  <c r="L83" i="5"/>
  <c r="L8" i="5"/>
  <c r="L33" i="5"/>
  <c r="N34" i="5"/>
  <c r="M69" i="5"/>
  <c r="N84" i="5"/>
  <c r="N20" i="5"/>
  <c r="N28" i="5"/>
  <c r="M89" i="5"/>
  <c r="M41" i="5"/>
  <c r="L4" i="5"/>
  <c r="N93" i="5"/>
  <c r="M97" i="5"/>
  <c r="N6" i="5"/>
  <c r="N33" i="5"/>
  <c r="N16" i="5"/>
  <c r="L96" i="5"/>
  <c r="M10" i="5"/>
  <c r="M79" i="5"/>
  <c r="L88" i="5"/>
  <c r="M85" i="5"/>
  <c r="N2" i="5"/>
  <c r="M46" i="5"/>
  <c r="L94" i="5"/>
  <c r="N68" i="5"/>
  <c r="N90" i="5"/>
  <c r="N79" i="5"/>
  <c r="M51" i="5"/>
  <c r="L97" i="5"/>
  <c r="N97" i="5"/>
  <c r="N10" i="5"/>
  <c r="N32" i="5"/>
  <c r="M94" i="5"/>
  <c r="N48" i="5"/>
  <c r="M25" i="5"/>
  <c r="M88" i="5"/>
  <c r="N42" i="5"/>
  <c r="M23" i="5"/>
  <c r="L5" i="5"/>
  <c r="L100" i="5"/>
  <c r="N94" i="5"/>
  <c r="M92" i="5"/>
  <c r="L31" i="5"/>
  <c r="N21" i="5"/>
  <c r="N23" i="5"/>
  <c r="L32" i="5"/>
  <c r="L84" i="5"/>
  <c r="N31" i="5"/>
  <c r="N95" i="5"/>
  <c r="L54" i="5"/>
  <c r="N19" i="5"/>
  <c r="N77" i="5"/>
  <c r="N75" i="5"/>
  <c r="N49" i="5"/>
  <c r="M20" i="5"/>
  <c r="L21" i="5"/>
  <c r="M84" i="5"/>
  <c r="L48" i="5"/>
  <c r="N55" i="5"/>
  <c r="L53" i="5"/>
  <c r="M70" i="5"/>
  <c r="L43" i="5"/>
  <c r="N24" i="5"/>
  <c r="N47" i="5"/>
  <c r="N51" i="5"/>
  <c r="L64" i="5"/>
  <c r="M17" i="5"/>
  <c r="N67" i="5"/>
  <c r="N89" i="5"/>
  <c r="M80" i="5"/>
  <c r="M99" i="5"/>
  <c r="N5" i="5"/>
  <c r="M33" i="5"/>
  <c r="M21" i="5"/>
  <c r="M4" i="5"/>
  <c r="M58" i="5"/>
  <c r="M49" i="5"/>
  <c r="M82" i="5"/>
  <c r="L62" i="5"/>
  <c r="M30" i="5"/>
  <c r="L34" i="5"/>
  <c r="M12" i="5"/>
  <c r="N78" i="5"/>
  <c r="L36" i="5"/>
  <c r="N57" i="5"/>
  <c r="L42" i="5"/>
  <c r="L77" i="5"/>
  <c r="N66" i="5"/>
  <c r="N7" i="5"/>
  <c r="M73" i="5"/>
  <c r="L45" i="5"/>
  <c r="L74" i="5"/>
  <c r="L80" i="5"/>
  <c r="N54" i="5"/>
  <c r="N29" i="5"/>
  <c r="M100" i="5"/>
  <c r="L19" i="5"/>
  <c r="L58" i="5"/>
  <c r="M9" i="5"/>
  <c r="M42" i="5"/>
  <c r="L7" i="5"/>
  <c r="N100" i="5"/>
  <c r="N56" i="5"/>
  <c r="M47" i="5"/>
  <c r="M98" i="5"/>
  <c r="N41" i="5"/>
  <c r="L6" i="5"/>
  <c r="M72" i="5"/>
  <c r="L39" i="5"/>
  <c r="N11" i="5"/>
  <c r="M74" i="5"/>
  <c r="L23" i="5"/>
  <c r="L56" i="5"/>
  <c r="M34" i="5"/>
  <c r="M16" i="5"/>
  <c r="N8" i="5"/>
  <c r="N17" i="5"/>
  <c r="M19" i="5"/>
  <c r="M86" i="5"/>
  <c r="L29" i="5"/>
  <c r="N27" i="5"/>
  <c r="L16" i="5"/>
  <c r="M29" i="5"/>
  <c r="M26" i="5"/>
  <c r="N64" i="5"/>
  <c r="N15" i="5"/>
  <c r="L20" i="5"/>
  <c r="M96" i="5"/>
  <c r="N87" i="5"/>
  <c r="L28" i="5"/>
  <c r="N86" i="5"/>
  <c r="L67" i="5"/>
  <c r="L15" i="5"/>
  <c r="L13" i="5"/>
  <c r="N71" i="5"/>
  <c r="M40" i="5"/>
  <c r="N46" i="5"/>
  <c r="L59" i="5"/>
  <c r="M56" i="5"/>
  <c r="M77" i="5"/>
  <c r="L98" i="5"/>
  <c r="L30" i="5"/>
  <c r="L69" i="5"/>
  <c r="M39" i="5"/>
  <c r="M52" i="5"/>
  <c r="N3" i="5"/>
  <c r="M48" i="5"/>
  <c r="L65" i="5"/>
  <c r="L12" i="5"/>
  <c r="N52" i="5"/>
  <c r="N14" i="5"/>
  <c r="N4" i="5"/>
  <c r="N39" i="5"/>
  <c r="N45" i="5"/>
  <c r="L37" i="5"/>
  <c r="M63" i="5"/>
  <c r="L3" i="5"/>
  <c r="M18" i="5"/>
  <c r="M57" i="5"/>
  <c r="L101" i="5"/>
  <c r="L81" i="5"/>
  <c r="L66" i="5"/>
  <c r="N59" i="5"/>
  <c r="L52" i="5"/>
  <c r="L40" i="5"/>
  <c r="L70" i="5"/>
  <c r="N53" i="5"/>
  <c r="M90" i="5"/>
  <c r="N81" i="5"/>
  <c r="N70" i="5"/>
  <c r="L26" i="5"/>
  <c r="M13" i="5"/>
  <c r="L72" i="5"/>
  <c r="L38" i="5"/>
  <c r="M76" i="5"/>
  <c r="N25" i="5"/>
  <c r="N36" i="5"/>
  <c r="N65" i="5"/>
  <c r="L2" i="5"/>
  <c r="N91" i="5"/>
  <c r="N12" i="5"/>
  <c r="N88" i="5"/>
  <c r="N26" i="5"/>
  <c r="L25" i="5"/>
  <c r="L91" i="5"/>
  <c r="L61" i="5"/>
  <c r="L90" i="5"/>
  <c r="M22" i="5"/>
  <c r="L10" i="5"/>
  <c r="L49" i="5"/>
  <c r="N58" i="5"/>
  <c r="M27" i="5"/>
  <c r="M28" i="5"/>
  <c r="N35" i="5"/>
  <c r="N76" i="5"/>
  <c r="M37" i="5"/>
  <c r="N80" i="5"/>
  <c r="M95" i="5"/>
  <c r="M83" i="5"/>
  <c r="N60" i="5"/>
  <c r="M36" i="5"/>
  <c r="M55" i="5"/>
  <c r="L99" i="5"/>
  <c r="L87" i="5"/>
  <c r="L27" i="5"/>
  <c r="L85" i="5"/>
  <c r="L57" i="5"/>
  <c r="M64" i="5"/>
  <c r="L11" i="5"/>
  <c r="L46" i="5"/>
  <c r="L60" i="5"/>
  <c r="N92" i="5"/>
  <c r="M11" i="5"/>
  <c r="M81" i="5"/>
  <c r="M5" i="5"/>
  <c r="L18" i="5"/>
  <c r="L9" i="5"/>
  <c r="L79" i="5"/>
  <c r="M31" i="5"/>
  <c r="N13" i="5"/>
  <c r="M45" i="5"/>
  <c r="L68" i="5"/>
  <c r="N37" i="5"/>
  <c r="N101" i="5"/>
  <c r="N73" i="5"/>
  <c r="N74" i="5"/>
  <c r="N40" i="5"/>
  <c r="M35" i="5"/>
  <c r="L75" i="5"/>
  <c r="M66" i="5"/>
  <c r="L44" i="5"/>
  <c r="N83" i="5"/>
  <c r="M68" i="5"/>
  <c r="N72" i="5"/>
  <c r="N96" i="5"/>
  <c r="L71" i="5"/>
  <c r="N82" i="5"/>
  <c r="M6" i="5"/>
  <c r="M71" i="5"/>
  <c r="M61" i="5"/>
  <c r="M62" i="5"/>
  <c r="M3" i="5"/>
  <c r="L82" i="5"/>
  <c r="M15" i="5"/>
  <c r="L76" i="5"/>
  <c r="N43" i="5"/>
  <c r="L78" i="5"/>
  <c r="N44" i="5"/>
  <c r="N98" i="5"/>
  <c r="M53" i="5"/>
  <c r="N18" i="5"/>
  <c r="M101" i="5"/>
  <c r="M44" i="5"/>
  <c r="L50" i="5"/>
  <c r="L22" i="5"/>
  <c r="M8" i="5"/>
  <c r="M91" i="5"/>
  <c r="M60" i="5"/>
  <c r="L93" i="5"/>
  <c r="M24" i="5"/>
  <c r="M50" i="5"/>
  <c r="L89" i="5"/>
  <c r="M65" i="5"/>
  <c r="M43" i="5"/>
  <c r="N62" i="5"/>
  <c r="L95" i="5"/>
  <c r="N69" i="5"/>
  <c r="N85" i="5"/>
  <c r="N9" i="5"/>
  <c r="N30" i="5"/>
  <c r="L73" i="5"/>
  <c r="M14" i="5"/>
  <c r="M87" i="5"/>
  <c r="M67" i="5"/>
  <c r="L86" i="5"/>
  <c r="L14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53" i="5"/>
  <c r="J89" i="5"/>
  <c r="J67" i="5"/>
  <c r="J92" i="5"/>
  <c r="J6" i="5"/>
  <c r="J69" i="5"/>
  <c r="J37" i="5"/>
  <c r="J41" i="5"/>
  <c r="J88" i="5"/>
  <c r="J11" i="5"/>
  <c r="J8" i="5"/>
  <c r="J96" i="5"/>
  <c r="J12" i="5"/>
  <c r="J46" i="5"/>
  <c r="J84" i="5"/>
  <c r="J90" i="5"/>
  <c r="J24" i="5"/>
  <c r="J85" i="5"/>
  <c r="J35" i="5"/>
  <c r="J13" i="5"/>
  <c r="J63" i="5"/>
  <c r="J48" i="5"/>
  <c r="J21" i="5"/>
  <c r="J43" i="5"/>
  <c r="J33" i="5"/>
  <c r="J82" i="5"/>
  <c r="J59" i="5"/>
  <c r="J64" i="5"/>
  <c r="J16" i="5"/>
  <c r="J78" i="5"/>
  <c r="J81" i="5"/>
  <c r="J26" i="5"/>
  <c r="J3" i="5"/>
  <c r="J44" i="5"/>
  <c r="J57" i="5"/>
  <c r="J7" i="5"/>
  <c r="J97" i="5"/>
  <c r="J93" i="5"/>
  <c r="J87" i="5"/>
  <c r="J5" i="5"/>
  <c r="J100" i="5"/>
  <c r="J47" i="5"/>
  <c r="J38" i="5"/>
  <c r="J66" i="5"/>
  <c r="J61" i="5"/>
  <c r="J91" i="5"/>
  <c r="J32" i="5"/>
  <c r="J42" i="5"/>
  <c r="J20" i="5"/>
  <c r="J45" i="5"/>
  <c r="J65" i="5"/>
  <c r="J101" i="5"/>
  <c r="J70" i="5"/>
  <c r="J56" i="5"/>
  <c r="J98" i="5"/>
  <c r="J10" i="5"/>
  <c r="J60" i="5"/>
  <c r="J49" i="5"/>
  <c r="J51" i="5"/>
  <c r="J39" i="5"/>
  <c r="J9" i="5"/>
  <c r="J55" i="5"/>
  <c r="J29" i="5"/>
  <c r="J52" i="5"/>
  <c r="J25" i="5"/>
  <c r="J94" i="5"/>
  <c r="J22" i="5"/>
  <c r="J14" i="5"/>
  <c r="J19" i="5"/>
  <c r="J4" i="5"/>
  <c r="J40" i="5"/>
  <c r="J54" i="5"/>
  <c r="J17" i="5"/>
  <c r="J15" i="5"/>
  <c r="J27" i="5"/>
  <c r="J80" i="5"/>
  <c r="J83" i="5"/>
  <c r="J77" i="5"/>
  <c r="J95" i="5"/>
  <c r="J86" i="5"/>
  <c r="J34" i="5"/>
  <c r="J2" i="5"/>
  <c r="J71" i="5"/>
  <c r="J23" i="5"/>
  <c r="J50" i="5"/>
  <c r="J76" i="5"/>
  <c r="J99" i="5"/>
  <c r="J73" i="5"/>
  <c r="J30" i="5"/>
  <c r="J18" i="5"/>
  <c r="J31" i="5"/>
  <c r="J62" i="5"/>
  <c r="J58" i="5"/>
  <c r="J36" i="5"/>
  <c r="J28" i="5"/>
  <c r="J79" i="5"/>
  <c r="J74" i="5"/>
  <c r="J68" i="5"/>
  <c r="J72" i="5"/>
  <c r="J75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39" i="5"/>
  <c r="G17" i="5"/>
  <c r="G30" i="5"/>
  <c r="G49" i="5"/>
  <c r="G76" i="5"/>
  <c r="G101" i="5"/>
  <c r="G88" i="5"/>
  <c r="G71" i="5"/>
  <c r="G48" i="5"/>
  <c r="G18" i="5"/>
  <c r="G24" i="5"/>
  <c r="G13" i="5"/>
  <c r="G79" i="5"/>
  <c r="G52" i="5"/>
  <c r="G29" i="5"/>
  <c r="G63" i="5"/>
  <c r="G73" i="5"/>
  <c r="G6" i="5"/>
  <c r="G61" i="5"/>
  <c r="G83" i="5"/>
  <c r="G59" i="5"/>
  <c r="G92" i="5"/>
  <c r="G91" i="5"/>
  <c r="G65" i="5"/>
  <c r="G87" i="5"/>
  <c r="G75" i="5"/>
  <c r="G12" i="5"/>
  <c r="G86" i="5"/>
  <c r="G69" i="5"/>
  <c r="G23" i="5"/>
  <c r="G36" i="5"/>
  <c r="G40" i="5"/>
  <c r="G27" i="5"/>
  <c r="G4" i="5"/>
  <c r="G5" i="5"/>
  <c r="G10" i="5"/>
  <c r="G90" i="5"/>
  <c r="G56" i="5"/>
  <c r="G81" i="5"/>
  <c r="G99" i="5"/>
  <c r="G54" i="5"/>
  <c r="G67" i="5"/>
  <c r="G64" i="5"/>
  <c r="G16" i="5"/>
  <c r="G70" i="5"/>
  <c r="G11" i="5"/>
  <c r="G89" i="5"/>
  <c r="G9" i="5"/>
  <c r="G45" i="5"/>
  <c r="G28" i="5"/>
  <c r="G25" i="5"/>
  <c r="G51" i="5"/>
  <c r="G58" i="5"/>
  <c r="G57" i="5"/>
  <c r="G42" i="5"/>
  <c r="G62" i="5"/>
  <c r="G93" i="5"/>
  <c r="G33" i="5"/>
  <c r="G97" i="5"/>
  <c r="G94" i="5"/>
  <c r="G77" i="5"/>
  <c r="G8" i="5"/>
  <c r="G84" i="5"/>
  <c r="G35" i="5"/>
  <c r="G53" i="5"/>
  <c r="G3" i="5"/>
  <c r="G7" i="5"/>
  <c r="G78" i="5"/>
  <c r="G96" i="5"/>
  <c r="G66" i="5"/>
  <c r="G43" i="5"/>
  <c r="G46" i="5"/>
  <c r="G82" i="5"/>
  <c r="G60" i="5"/>
  <c r="G68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95" i="5"/>
  <c r="G74" i="5"/>
  <c r="G22" i="5"/>
  <c r="G34" i="5"/>
  <c r="G100" i="5"/>
  <c r="G47" i="5"/>
  <c r="G14" i="5"/>
  <c r="G32" i="5"/>
  <c r="G2" i="5"/>
  <c r="G19" i="5"/>
  <c r="G80" i="5"/>
  <c r="G85" i="5"/>
  <c r="G15" i="5"/>
  <c r="G44" i="5"/>
  <c r="G55" i="5"/>
  <c r="G37" i="5"/>
  <c r="G38" i="5"/>
  <c r="G21" i="5"/>
  <c r="G26" i="5"/>
  <c r="G31" i="5"/>
  <c r="G50" i="5"/>
  <c r="G72" i="5"/>
  <c r="G98" i="5"/>
  <c r="G20" i="5"/>
  <c r="G41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91" i="5"/>
  <c r="F38" i="5"/>
  <c r="F3" i="5"/>
  <c r="F14" i="5"/>
  <c r="F42" i="5"/>
  <c r="F92" i="5"/>
  <c r="F88" i="5"/>
  <c r="F36" i="5"/>
  <c r="F89" i="5"/>
  <c r="F16" i="5"/>
  <c r="F5" i="5"/>
  <c r="F15" i="5"/>
  <c r="F44" i="5"/>
  <c r="F69" i="5"/>
  <c r="F53" i="5"/>
  <c r="F96" i="5"/>
  <c r="F48" i="5"/>
  <c r="F30" i="5"/>
  <c r="F90" i="5"/>
  <c r="F60" i="5"/>
  <c r="F41" i="5"/>
  <c r="F66" i="5"/>
  <c r="F59" i="5"/>
  <c r="F4" i="5"/>
  <c r="F7" i="5"/>
  <c r="F94" i="5"/>
  <c r="F81" i="5"/>
  <c r="F71" i="5"/>
  <c r="F84" i="5"/>
  <c r="F75" i="5"/>
  <c r="F72" i="5"/>
  <c r="F77" i="5"/>
  <c r="F28" i="5"/>
  <c r="F2" i="5"/>
  <c r="F9" i="5"/>
  <c r="F55" i="5"/>
  <c r="F45" i="5"/>
  <c r="F74" i="5"/>
  <c r="F39" i="5"/>
  <c r="F73" i="5"/>
  <c r="F62" i="5"/>
  <c r="F87" i="5"/>
  <c r="F101" i="5"/>
  <c r="F82" i="5"/>
  <c r="F78" i="5"/>
  <c r="F12" i="5"/>
  <c r="F98" i="5"/>
  <c r="F76" i="5"/>
  <c r="F43" i="5"/>
  <c r="F33" i="5"/>
  <c r="F32" i="5"/>
  <c r="F19" i="5"/>
  <c r="F67" i="5"/>
  <c r="F56" i="5"/>
  <c r="F65" i="5"/>
  <c r="F25" i="5"/>
  <c r="F51" i="5"/>
  <c r="F79" i="5"/>
  <c r="F34" i="5"/>
  <c r="F54" i="5"/>
  <c r="F100" i="5"/>
  <c r="F68" i="5"/>
  <c r="F80" i="5"/>
  <c r="F13" i="5"/>
  <c r="F24" i="5"/>
  <c r="F57" i="5"/>
  <c r="F22" i="5"/>
  <c r="F99" i="5"/>
  <c r="F6" i="5"/>
  <c r="F61" i="5"/>
  <c r="F70" i="5"/>
  <c r="F52" i="5"/>
  <c r="F31" i="5"/>
  <c r="F50" i="5"/>
  <c r="F40" i="5"/>
  <c r="F37" i="5"/>
  <c r="F8" i="5"/>
  <c r="F58" i="5"/>
  <c r="F23" i="5"/>
  <c r="F85" i="5"/>
  <c r="F86" i="5"/>
  <c r="F27" i="5"/>
  <c r="F49" i="5"/>
  <c r="F10" i="5"/>
  <c r="F11" i="5"/>
  <c r="F97" i="5"/>
  <c r="F83" i="5"/>
  <c r="F35" i="5"/>
  <c r="F46" i="5"/>
  <c r="F64" i="5"/>
  <c r="F93" i="5"/>
  <c r="F95" i="5"/>
  <c r="F17" i="5"/>
  <c r="F63" i="5"/>
  <c r="F18" i="5"/>
  <c r="F29" i="5"/>
  <c r="F20" i="5"/>
  <c r="F47" i="5"/>
  <c r="F26" i="5"/>
  <c r="F21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36" i="5"/>
  <c r="H93" i="5"/>
  <c r="H71" i="5"/>
  <c r="H76" i="5"/>
  <c r="H47" i="5"/>
  <c r="H11" i="5"/>
  <c r="H29" i="5"/>
  <c r="H89" i="5"/>
  <c r="H26" i="5"/>
  <c r="H12" i="5"/>
  <c r="H53" i="5"/>
  <c r="H30" i="5"/>
  <c r="H50" i="5"/>
  <c r="H67" i="5"/>
  <c r="H44" i="5"/>
  <c r="H68" i="5"/>
  <c r="H74" i="5"/>
  <c r="H15" i="5"/>
  <c r="H31" i="5"/>
  <c r="H9" i="5"/>
  <c r="H16" i="5"/>
  <c r="H94" i="5"/>
  <c r="H38" i="5"/>
  <c r="H5" i="5"/>
  <c r="H90" i="5"/>
  <c r="H18" i="5"/>
  <c r="H77" i="5"/>
  <c r="H40" i="5"/>
  <c r="H78" i="5"/>
  <c r="H22" i="5"/>
  <c r="H81" i="5"/>
  <c r="H64" i="5"/>
  <c r="H46" i="5"/>
  <c r="H48" i="5"/>
  <c r="H34" i="5"/>
  <c r="H13" i="5"/>
  <c r="H3" i="5"/>
  <c r="H23" i="5"/>
  <c r="H57" i="5"/>
  <c r="H95" i="5"/>
  <c r="H43" i="5"/>
  <c r="H33" i="5"/>
  <c r="H65" i="5"/>
  <c r="H91" i="5"/>
  <c r="H69" i="5"/>
  <c r="H58" i="5"/>
  <c r="H7" i="5"/>
  <c r="H99" i="5"/>
  <c r="H100" i="5"/>
  <c r="H86" i="5"/>
  <c r="H27" i="5"/>
  <c r="H96" i="5"/>
  <c r="H63" i="5"/>
  <c r="H82" i="5"/>
  <c r="H84" i="5"/>
  <c r="H42" i="5"/>
  <c r="H20" i="5"/>
  <c r="H2" i="5"/>
  <c r="H61" i="5"/>
  <c r="H92" i="5"/>
  <c r="H41" i="5"/>
  <c r="H83" i="5"/>
  <c r="H70" i="5"/>
  <c r="H75" i="5"/>
  <c r="H19" i="5"/>
  <c r="H59" i="5"/>
  <c r="H66" i="5"/>
  <c r="H17" i="5"/>
  <c r="H51" i="5"/>
  <c r="H6" i="5"/>
  <c r="H39" i="5"/>
  <c r="H88" i="5"/>
  <c r="H98" i="5"/>
  <c r="H62" i="5"/>
  <c r="H60" i="5"/>
  <c r="H49" i="5"/>
  <c r="H52" i="5"/>
  <c r="H35" i="5"/>
  <c r="H28" i="5"/>
  <c r="H4" i="5"/>
  <c r="H79" i="5"/>
  <c r="H10" i="5"/>
  <c r="H45" i="5"/>
  <c r="H87" i="5"/>
  <c r="H8" i="5"/>
  <c r="H97" i="5"/>
  <c r="H37" i="5"/>
  <c r="H54" i="5"/>
  <c r="H73" i="5"/>
  <c r="H24" i="5"/>
  <c r="H85" i="5"/>
  <c r="H56" i="5"/>
  <c r="H80" i="5"/>
  <c r="H25" i="5"/>
  <c r="H14" i="5"/>
  <c r="H101" i="5"/>
  <c r="H72" i="5"/>
  <c r="H32" i="5"/>
  <c r="H21" i="5"/>
  <c r="H55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50" i="5"/>
  <c r="I98" i="5"/>
  <c r="I24" i="5"/>
  <c r="I66" i="5"/>
  <c r="I89" i="5"/>
  <c r="I78" i="5"/>
  <c r="I67" i="5"/>
  <c r="I75" i="5"/>
  <c r="I56" i="5"/>
  <c r="I65" i="5"/>
  <c r="I30" i="5"/>
  <c r="I59" i="5"/>
  <c r="I93" i="5"/>
  <c r="I28" i="5"/>
  <c r="I38" i="5"/>
  <c r="I9" i="5"/>
  <c r="I27" i="5"/>
  <c r="I68" i="5"/>
  <c r="I85" i="5"/>
  <c r="I17" i="5"/>
  <c r="I81" i="5"/>
  <c r="I2" i="5"/>
  <c r="I58" i="5"/>
  <c r="I35" i="5"/>
  <c r="I80" i="5"/>
  <c r="I52" i="5"/>
  <c r="I23" i="5"/>
  <c r="I16" i="5"/>
  <c r="I49" i="5"/>
  <c r="I70" i="5"/>
  <c r="I86" i="5"/>
  <c r="I55" i="5"/>
  <c r="I77" i="5"/>
  <c r="I92" i="5"/>
  <c r="I76" i="5"/>
  <c r="I32" i="5"/>
  <c r="I74" i="5"/>
  <c r="I5" i="5"/>
  <c r="I31" i="5"/>
  <c r="I84" i="5"/>
  <c r="I60" i="5"/>
  <c r="I100" i="5"/>
  <c r="I47" i="5"/>
  <c r="I87" i="5"/>
  <c r="I82" i="5"/>
  <c r="I26" i="5"/>
  <c r="I15" i="5"/>
  <c r="I63" i="5"/>
  <c r="I13" i="5"/>
  <c r="I45" i="5"/>
  <c r="I73" i="5"/>
  <c r="I4" i="5"/>
  <c r="I3" i="5"/>
  <c r="I25" i="5"/>
  <c r="I36" i="5"/>
  <c r="I57" i="5"/>
  <c r="I11" i="5"/>
  <c r="I39" i="5"/>
  <c r="I14" i="5"/>
  <c r="I29" i="5"/>
  <c r="I37" i="5"/>
  <c r="I10" i="5"/>
  <c r="I53" i="5"/>
  <c r="I72" i="5"/>
  <c r="I88" i="5"/>
  <c r="I22" i="5"/>
  <c r="I41" i="5"/>
  <c r="I20" i="5"/>
  <c r="I19" i="5"/>
  <c r="I83" i="5"/>
  <c r="I42" i="5"/>
  <c r="I97" i="5"/>
  <c r="I18" i="5"/>
  <c r="I40" i="5"/>
  <c r="I62" i="5"/>
  <c r="I54" i="5"/>
  <c r="I69" i="5"/>
  <c r="I91" i="5"/>
  <c r="I64" i="5"/>
  <c r="I43" i="5"/>
  <c r="I71" i="5"/>
  <c r="I95" i="5"/>
  <c r="I94" i="5"/>
  <c r="I7" i="5"/>
  <c r="I12" i="5"/>
  <c r="I99" i="5"/>
  <c r="I79" i="5"/>
  <c r="I6" i="5"/>
  <c r="I21" i="5"/>
  <c r="I61" i="5"/>
  <c r="I33" i="5"/>
  <c r="I44" i="5"/>
  <c r="I34" i="5"/>
  <c r="I96" i="5"/>
  <c r="I90" i="5"/>
  <c r="I51" i="5"/>
  <c r="I8" i="5"/>
  <c r="I46" i="5"/>
  <c r="I48" i="5"/>
  <c r="I101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24" i="5"/>
  <c r="E52" i="5"/>
  <c r="E5" i="5"/>
  <c r="E95" i="5"/>
  <c r="E96" i="5"/>
  <c r="E101" i="5"/>
  <c r="E19" i="5"/>
  <c r="E82" i="5"/>
  <c r="E14" i="5"/>
  <c r="E46" i="5"/>
  <c r="E20" i="5"/>
  <c r="E54" i="5"/>
  <c r="E30" i="5"/>
  <c r="E21" i="5"/>
  <c r="E10" i="5"/>
  <c r="E92" i="5"/>
  <c r="E27" i="5"/>
  <c r="E37" i="5"/>
  <c r="E98" i="5"/>
  <c r="E85" i="5"/>
  <c r="E97" i="5"/>
  <c r="E33" i="5"/>
  <c r="E12" i="5"/>
  <c r="E50" i="5"/>
  <c r="E55" i="5"/>
  <c r="E42" i="5"/>
  <c r="E89" i="5"/>
  <c r="E36" i="5"/>
  <c r="E2" i="5"/>
  <c r="E35" i="5"/>
  <c r="E17" i="5"/>
  <c r="E56" i="5"/>
  <c r="E26" i="5"/>
  <c r="E51" i="5"/>
  <c r="E70" i="5"/>
  <c r="E44" i="5"/>
  <c r="E23" i="5"/>
  <c r="E64" i="5"/>
  <c r="E13" i="5"/>
  <c r="E66" i="5"/>
  <c r="E59" i="5"/>
  <c r="E9" i="5"/>
  <c r="E76" i="5"/>
  <c r="E65" i="5"/>
  <c r="E32" i="5"/>
  <c r="E68" i="5"/>
  <c r="E72" i="5"/>
  <c r="E49" i="5"/>
  <c r="E22" i="5"/>
  <c r="E69" i="5"/>
  <c r="E73" i="5"/>
  <c r="E15" i="5"/>
  <c r="E8" i="5"/>
  <c r="E93" i="5"/>
  <c r="E53" i="5"/>
  <c r="E81" i="5"/>
  <c r="E3" i="5"/>
  <c r="E84" i="5"/>
  <c r="E4" i="5"/>
  <c r="E18" i="5"/>
  <c r="E91" i="5"/>
  <c r="E99" i="5"/>
  <c r="E83" i="5"/>
  <c r="E77" i="5"/>
  <c r="E57" i="5"/>
  <c r="E61" i="5"/>
  <c r="E86" i="5"/>
  <c r="E34" i="5"/>
  <c r="E43" i="5"/>
  <c r="E79" i="5"/>
  <c r="E78" i="5"/>
  <c r="E67" i="5"/>
  <c r="E58" i="5"/>
  <c r="E38" i="5"/>
  <c r="E60" i="5"/>
  <c r="E16" i="5"/>
  <c r="E94" i="5"/>
  <c r="E80" i="5"/>
  <c r="E39" i="5"/>
  <c r="E40" i="5"/>
  <c r="E90" i="5"/>
  <c r="E41" i="5"/>
  <c r="E48" i="5"/>
  <c r="E28" i="5"/>
  <c r="E29" i="5"/>
  <c r="E47" i="5"/>
  <c r="E71" i="5"/>
  <c r="E11" i="5"/>
  <c r="E74" i="5"/>
  <c r="E75" i="5"/>
  <c r="E87" i="5"/>
  <c r="E7" i="5"/>
  <c r="E25" i="5"/>
  <c r="E62" i="5"/>
  <c r="E63" i="5"/>
  <c r="E88" i="5"/>
  <c r="E6" i="5"/>
  <c r="E45" i="5"/>
  <c r="E31" i="5"/>
  <c r="E100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<sst xmlns="http://schemas.openxmlformats.org/spreadsheetml/2006/main" count="308" uniqueCount="244">
  <si>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</si>
  <si>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</si>
  <si>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</si>
  <si>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</si>
  <si>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</si>
  <si>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</si>
  <si>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</si>
  <si>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</si>
  <si>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</si>
  <si>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</si>
  <si>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</si>
  <si>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</si>
  <si>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</si>
  <si>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</si>
  <si>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</si>
  <si>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</si>
  <si>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</si>
  <si>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</si>
  <si>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</si>
  <si>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</si>
  <si>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</si>
  <si>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</si>
  <si>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</si>
  <si>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</si>
  <si>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</si>
  <si>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</si>
  <si>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</si>
  <si>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</si>
  <si>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</si>
  <si>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</si>
  <si>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</si>
  <si>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</si>
  <si>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</si>
  <si>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</si>
  <si>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</si>
  <si>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</si>
  <si>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</si>
  <si>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</si>
  <si>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</si>
  <si>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</si>
  <si>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</si>
  <si>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</si>
  <si>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</si>
  <si>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</si>
  <si>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</si>
  <si>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</si>
  <si>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</si>
  <si>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</si>
  <si>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</si>
  <si>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</si>
  <si>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</si>
  <si>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</si>
  <si>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</si>
  <si>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</si>
  <si>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</si>
  <si>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</si>
  <si>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</si>
  <si>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</si>
  <si>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</si>
  <si>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</si>
  <si>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</si>
  <si>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</si>
  <si>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</si>
  <si>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</si>
  <si>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</si>
  <si>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</si>
  <si>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</si>
  <si>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</si>
  <si>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</si>
  <si>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</si>
  <si>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</si>
  <si>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</si>
  <si>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</si>
  <si>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</si>
  <si>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</si>
  <si>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</si>
  <si>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</si>
  <si>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</si>
  <si>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</si>
  <si>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</si>
  <si>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</si>
  <si>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</si>
  <si>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</si>
  <si>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</si>
  <si>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</si>
  <si>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</si>
  <si>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</si>
  <si>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</si>
  <si>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</si>
  <si>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</si>
  <si>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</si>
  <si>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</si>
  <si>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</si>
  <si>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</si>
  <si>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</si>
  <si>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</si>
  <si>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</si>
  <si>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</si>
  <si>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</si>
  <si>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</si>
  <si>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</si>
  <si>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</si>
  <si>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</si>
  <si>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</si>
  <si>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</si>
  <si>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</si>
  <si>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</si>
  <si>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</si>
  <si>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</si>
  <si>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</si>
  <si>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</si>
  <si>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</si>
  <si>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</si>
  <si>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</si>
  <si>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</si>
  <si>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</si>
  <si>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</si>
  <si>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</si>
  <si>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</si>
  <si>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</si>
  <si>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</si>
  <si>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</si>
  <si>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</si>
  <si>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</si>
  <si>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</si>
  <si>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</si>
  <si>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</si>
  <si>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</si>
  <si>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</si>
  <si>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</si>
  <si>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</si>
  <si>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</si>
  <si>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</si>
  <si>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</si>
  <si>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</si>
  <si>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</si>
  <si>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</si>
  <si>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</si>
  <si>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</si>
  <si>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</si>
  <si>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</si>
  <si>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</si>
  <si>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</si>
  <si>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</si>
  <si>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</si>
  <si>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</si>
  <si>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</si>
  <si>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</si>
  <si>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</si>
  <si>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</si>
  <si>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</si>
  <si>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</si>
  <si>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</si>
  <si>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</si>
  <si>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</si>
  <si>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</si>
  <si>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</si>
  <si>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</si>
  <si>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</si>
  <si>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</si>
  <si>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</si>
  <si>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</si>
  <si>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</si>
  <si>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</si>
  <si>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</si>
  <si>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</si>
  <si>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</si>
  <si>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</si>
  <si>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</si>
  <si>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</si>
  <si>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</si>
  <si>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</si>
  <si>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</si>
  <si>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</si>
  <si>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</si>
  <si>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</si>
  <si>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</si>
  <si>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</si>
  <si>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</si>
  <si>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</si>
  <si>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</si>
  <si>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</si>
  <si>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</si>
  <si>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</si>
  <si>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</si>
  <si>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</si>
  <si>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</si>
  <si>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</si>
  <si>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</si>
  <si>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</si>
  <si>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</si>
  <si>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</si>
  <si>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</si>
  <si>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</si>
  <si>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</si>
  <si>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</si>
  <si>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</si>
  <si>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</si>
  <si>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</si>
  <si>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</si>
  <si>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</si>
  <si>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</si>
  <si>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</si>
  <si>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</si>
  <si>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</si>
  <si>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</si>
  <si>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</si>
  <si>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</si>
  <si>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</si>
  <si>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</si>
  <si>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</si>
  <si>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</si>
  <si>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</si>
  <si>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</si>
  <si>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</si>
  <si>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PABLO DOMINGUEZ</t>
  </si>
  <si>
    <t>DYLAN ALVARADO</t>
  </si>
  <si>
    <t>ALEX CUZCO</t>
  </si>
  <si>
    <t>Acceso al software</t>
  </si>
  <si>
    <t>Gestionar miembros</t>
  </si>
  <si>
    <t>Consultar calendario de eventos</t>
  </si>
  <si>
    <t>Proponer evento</t>
  </si>
  <si>
    <t>RF01-S1</t>
  </si>
  <si>
    <t>RF02-S1</t>
  </si>
  <si>
    <t>RF03-S1</t>
  </si>
  <si>
    <t>RF04-S1</t>
  </si>
  <si>
    <t xml:space="preserve">RF05-S2 </t>
  </si>
  <si>
    <t xml:space="preserve">RF06-S2 </t>
  </si>
  <si>
    <t xml:space="preserve">RF07-S2 </t>
  </si>
  <si>
    <t>Confirmar Asistencia al evento</t>
  </si>
  <si>
    <t>Registrar gastos del evento</t>
  </si>
  <si>
    <t>Registrar aportes económicos</t>
  </si>
  <si>
    <t xml:space="preserve">RF08-S3 </t>
  </si>
  <si>
    <t xml:space="preserve">RF09-S3 </t>
  </si>
  <si>
    <t>RF10-S3</t>
  </si>
  <si>
    <t>Registrar evento</t>
  </si>
  <si>
    <t>Difundir información del evento</t>
  </si>
  <si>
    <t>Ingresar y registrar proveedores</t>
  </si>
  <si>
    <t>RF11-S4</t>
  </si>
  <si>
    <t>RF12-S4</t>
  </si>
  <si>
    <t>RF13-S4</t>
  </si>
  <si>
    <t>Definir evento</t>
  </si>
  <si>
    <t>Ejecutar evento</t>
  </si>
  <si>
    <t xml:space="preserve">Generar reportes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</si>
</sst>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8" activePane="bottomLeft" state="frozen"/>
      <selection pane="bottomLeft" activeCell="C6" sqref="C6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(2 de 13)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(1 de 13)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(3 de 13)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(7 de 13)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(0 de 13)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13)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13)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13)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13)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13)</v>
      </c>
      <c r="AW4" s="108"/>
      <c r="AX4" s="108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10:</v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RF10-S3</v>
      </c>
      <c r="E6" s="106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8:</v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 xml:space="preserve">RF08-S3 </v>
      </c>
      <c r="J6" s="106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13:</v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RF13-S4</v>
      </c>
      <c r="O6" s="106" t="e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>#VALUE!</v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7: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 xml:space="preserve">RF07-S2 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Ingresar y registrar proveedores</v>
      </c>
      <c r="E7" s="106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Registrar evento</v>
      </c>
      <c r="J7" s="106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 xml:space="preserve">Generar reportes </v>
      </c>
      <c r="O7" s="106" t="e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>#VALUE!</v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Registrar aportes económicos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6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46209</v>
      </c>
      <c r="E8" s="106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6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46206</v>
      </c>
      <c r="J8" s="106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106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46218</v>
      </c>
      <c r="O8" s="106" t="e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>#VALUE!</v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46203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6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46210</v>
      </c>
      <c r="E9" s="106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6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46207</v>
      </c>
      <c r="J9" s="106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106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46219</v>
      </c>
      <c r="O9" s="106" t="e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>#VALUE!</v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46204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6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06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6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06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106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0</v>
      </c>
      <c r="O10" s="106" t="e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>#VALUE!</v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46204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6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6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e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>#VALUE!</v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2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6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6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e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>#VALUE!</v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PABLO DOMINGUEZ</v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PABLO DOMINGUEZ</v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PABLO DOMINGUEZ</v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ALEX CUZCO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e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>#VALUE!</v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9:</v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 xml:space="preserve">RF09-S3 </v>
      </c>
      <c r="E15" s="106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6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>Tarea 12:</v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>RF12-S4</v>
      </c>
      <c r="O15" s="106" t="e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>#VALUE!</v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6: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RF06-S2 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Difundir información del evento</v>
      </c>
      <c r="E16" s="106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6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>Descripción:</v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>Ejecutar evento</v>
      </c>
      <c r="O16" s="106" t="e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>#VALUE!</v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Registrar gastos del evento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6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46208</v>
      </c>
      <c r="E17" s="106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6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6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>Inicio:</v>
      </c>
      <c r="N17" s="106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>46216</v>
      </c>
      <c r="O17" s="106" t="e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>#VALUE!</v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46200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6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46209</v>
      </c>
      <c r="E18" s="106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6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6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>Previsto:</v>
      </c>
      <c r="N18" s="106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>46217</v>
      </c>
      <c r="O18" s="106" t="e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>#VALUE!</v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46201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6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0</v>
      </c>
      <c r="E19" s="106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6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6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>Final:</v>
      </c>
      <c r="N19" s="106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>0</v>
      </c>
      <c r="O19" s="106" t="e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>#VALUE!</v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46202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6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6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>Duración:</v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e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>#VALUE!</v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6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6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>Retraso:</v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e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>#VALUE!</v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1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ALEX CUZCO</v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>Asignado:</v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>DYLAN ALVARADO</v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ALEX CUZCO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e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>#VALUE!</v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6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>Tarea 11:</v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>RF11-S4</v>
      </c>
      <c r="O24" s="106" t="e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>#VALUE!</v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5: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 xml:space="preserve">RF05-S2 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6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>Descripción:</v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>Definir evento</v>
      </c>
      <c r="O25" s="106" t="e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>#VALUE!</v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Confirmar Asistencia al evento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6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6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>Inicio:</v>
      </c>
      <c r="N26" s="106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>46213</v>
      </c>
      <c r="O26" s="106" t="e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>#VALUE!</v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46198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6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6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>Previsto:</v>
      </c>
      <c r="N27" s="106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>46214</v>
      </c>
      <c r="O27" s="106" t="e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>#VALUE!</v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46199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6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6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>Final:</v>
      </c>
      <c r="N28" s="106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>0</v>
      </c>
      <c r="O28" s="106" t="e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>#VALUE!</v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46200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6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>Duración:</v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e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>#VALUE!</v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6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>Retraso:</v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e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>#VALUE!</v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1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>Asignado:</v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>DYLAN ALVARADO</v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DYLAN ALVARADO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4: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RF04-S1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Proponer evento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46175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46176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46177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1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PABLO DOMINGUEZ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3: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RF03-S1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Consultar calendario de eventos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46173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46174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46174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DYLAN ALVARADO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RF02-S1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Gestionar miembros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46171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46172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46173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1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ALEX CUZCO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RF01-S1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Acceso al software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46170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46170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46171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1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ALEX CUZCO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06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06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06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06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06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06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06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06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06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06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06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06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06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06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06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06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06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06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06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06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6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6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6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6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6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6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6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6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6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6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6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6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6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6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6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6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6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6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6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6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6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6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6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6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6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6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6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6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6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6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6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6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6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6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6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6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6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6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6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6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6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6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6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6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6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6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6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6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6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6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6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6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6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6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6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6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6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6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6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6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6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6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6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6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6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6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6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6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6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6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6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6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6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6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6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6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6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6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6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6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6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6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6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6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6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6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6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6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6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6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6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6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6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6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6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6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6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6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6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6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6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6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6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6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6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6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6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6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6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6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6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6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6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6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6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6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6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6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6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6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6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6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6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6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6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6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6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6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6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49" workbookViewId="0">
      <pane ySplit="1" topLeftCell="A3" activePane="bottomLeft" state="frozen"/>
      <selection pane="bottomLeft" activeCell="A9" sqref="A9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6</v>
      </c>
      <c r="B2" s="92" t="s">
        <v>3</v>
      </c>
      <c r="C2" s="102" t="s">
        <v>222</v>
      </c>
      <c r="D2" s="102" t="s">
        <v>218</v>
      </c>
      <c r="E2" s="103">
        <v>46170</v>
      </c>
      <c r="F2" s="93">
        <v>46170</v>
      </c>
      <c r="G2" s="93">
        <v>46171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217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6</v>
      </c>
      <c r="B3" s="95" t="s">
        <v>3</v>
      </c>
      <c r="C3" s="95" t="s">
        <v>223</v>
      </c>
      <c r="D3" s="104" t="s">
        <v>219</v>
      </c>
      <c r="E3" s="105">
        <v>46171</v>
      </c>
      <c r="F3" s="96">
        <v>46172</v>
      </c>
      <c r="G3" s="96">
        <v>46173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217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6</v>
      </c>
      <c r="B4" s="92" t="s">
        <v>3</v>
      </c>
      <c r="C4" s="92" t="s">
        <v>224</v>
      </c>
      <c r="D4" s="92" t="s">
        <v>220</v>
      </c>
      <c r="E4" s="103">
        <v>46173</v>
      </c>
      <c r="F4" s="93">
        <v>46174</v>
      </c>
      <c r="G4" s="93">
        <v>46174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216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6</v>
      </c>
      <c r="B5" s="95" t="s">
        <v>3</v>
      </c>
      <c r="C5" s="95" t="s">
        <v>225</v>
      </c>
      <c r="D5" s="95" t="s">
        <v>221</v>
      </c>
      <c r="E5" s="96">
        <v>46175</v>
      </c>
      <c r="F5" s="96">
        <v>46176</v>
      </c>
      <c r="G5" s="96">
        <v>46177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1 días</v>
      </c>
      <c r="J5" s="95" t="s">
        <v>215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6</v>
      </c>
      <c r="B6" s="92" t="s">
        <v>3</v>
      </c>
      <c r="C6" s="92" t="s">
        <v>226</v>
      </c>
      <c r="D6" s="92" t="s">
        <v>229</v>
      </c>
      <c r="E6" s="93">
        <v>46198</v>
      </c>
      <c r="F6" s="93">
        <v>46199</v>
      </c>
      <c r="G6" s="93">
        <v>46200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1 días</v>
      </c>
      <c r="J6" s="92" t="s">
        <v>216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6</v>
      </c>
      <c r="B7" s="95" t="s">
        <v>3</v>
      </c>
      <c r="C7" s="95" t="s">
        <v>227</v>
      </c>
      <c r="D7" s="95" t="s">
        <v>230</v>
      </c>
      <c r="E7" s="96">
        <v>46200</v>
      </c>
      <c r="F7" s="96">
        <v>46201</v>
      </c>
      <c r="G7" s="96">
        <v>46202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217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6</v>
      </c>
      <c r="B8" s="92" t="s">
        <v>3</v>
      </c>
      <c r="C8" s="92" t="s">
        <v>228</v>
      </c>
      <c r="D8" s="92" t="s">
        <v>231</v>
      </c>
      <c r="E8" s="93">
        <v>46203</v>
      </c>
      <c r="F8" s="93">
        <v>46204</v>
      </c>
      <c r="G8" s="93">
        <v>46204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217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8</v>
      </c>
      <c r="B9" s="95" t="s">
        <v>4</v>
      </c>
      <c r="C9" s="95" t="s">
        <v>232</v>
      </c>
      <c r="D9" s="95" t="s">
        <v>235</v>
      </c>
      <c r="E9" s="96">
        <v>46206</v>
      </c>
      <c r="F9" s="96">
        <v>46207</v>
      </c>
      <c r="G9" s="96"/>
      <c r="H9" s="45" t="str">
        <f>IF(Datos!$G9&gt;0,Datos!$G9-Datos!$E9+1 &amp; " " &amp; Idiomas!$A$29,"")</f>
        <v/>
      </c>
      <c r="I9" s="45" t="str" cm="1">
        <f t="array" ref="I9">IF(OR(Datos!$G9="",Datos!$A9=""),"",IF(AND(Datos!$G9=0,Datos!$F9&gt;0,Fecha_Hoy&gt;Datos!$F9),Fecha_Hoy-Datos!$F9,IF(Datos!$F9&lt;Datos!$G9,Datos!$G9-Datos!$F9,0))&amp; " " &amp; Idiomas!$A$29)</f>
        <v/>
      </c>
      <c r="J9" s="95" t="s">
        <v>215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9</v>
      </c>
      <c r="B10" s="92" t="s">
        <v>5</v>
      </c>
      <c r="C10" s="92" t="s">
        <v>233</v>
      </c>
      <c r="D10" s="92" t="s">
        <v>236</v>
      </c>
      <c r="E10" s="93">
        <v>46208</v>
      </c>
      <c r="F10" s="93">
        <v>46209</v>
      </c>
      <c r="G10" s="93"/>
      <c r="H10" s="43" t="str">
        <f>IF(Datos!$G10&gt;0,Datos!$G10-Datos!$E10+1 &amp; " " &amp; Idiomas!$A$29,"")</f>
        <v/>
      </c>
      <c r="I10" s="43" t="str" cm="1">
        <f t="array" ref="I10">IF(OR(Datos!$G10="",Datos!$A10=""),"",IF(AND(Datos!$G10=0,Datos!$F10&gt;0,Fecha_Hoy&gt;Datos!$F10),Fecha_Hoy-Datos!$F10,IF(Datos!$F10&lt;Datos!$G10,Datos!$G10-Datos!$F10,0))&amp; " " &amp; Idiomas!$A$29)</f>
        <v/>
      </c>
      <c r="J10" s="92" t="s">
        <v>217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9</v>
      </c>
      <c r="B11" s="95" t="s">
        <v>5</v>
      </c>
      <c r="C11" s="95" t="s">
        <v>234</v>
      </c>
      <c r="D11" s="95" t="s">
        <v>237</v>
      </c>
      <c r="E11" s="97">
        <v>46209</v>
      </c>
      <c r="F11" s="96">
        <v>46210</v>
      </c>
      <c r="G11" s="96"/>
      <c r="H11" s="45" t="str">
        <f>IF(Datos!$G11&gt;0,Datos!$G11-Datos!$E11+1 &amp; " " &amp; Idiomas!$A$29,"")</f>
        <v/>
      </c>
      <c r="I11" s="45" t="str" cm="1">
        <f t="array" ref="I11">IF(OR(Datos!$G11="",Datos!$A11=""),"",IF(AND(Datos!$G11=0,Datos!$F11&gt;0,Fecha_Hoy&gt;Datos!$F11),Fecha_Hoy-Datos!$F11,IF(Datos!$F11&lt;Datos!$G11,Datos!$G11-Datos!$F11,0))&amp; " " &amp; Idiomas!$A$29)</f>
        <v/>
      </c>
      <c r="J11" s="95" t="s">
        <v>215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7</v>
      </c>
      <c r="B12" s="92" t="s">
        <v>3</v>
      </c>
      <c r="C12" s="92" t="s">
        <v>238</v>
      </c>
      <c r="D12" s="92" t="s">
        <v>241</v>
      </c>
      <c r="E12" s="98">
        <v>46213</v>
      </c>
      <c r="F12" s="93">
        <v>46214</v>
      </c>
      <c r="G12" s="93"/>
      <c r="H12" s="43" t="str">
        <f>IF(Datos!$G12&gt;0,Datos!$G12-Datos!$E12+1 &amp; " " &amp; Idiomas!$A$29,"")</f>
        <v/>
      </c>
      <c r="I12" s="43" t="str" cm="1">
        <f t="array" ref="I12">IF(OR(Datos!$G12="",Datos!$A12=""),"",IF(AND(Datos!$G12=0,Datos!$F12&gt;0,Fecha_Hoy&gt;Datos!$F12),Fecha_Hoy-Datos!$F12,IF(Datos!$F12&lt;Datos!$G12,Datos!$G12-Datos!$F12,0))&amp; " " &amp; Idiomas!$A$29)</f>
        <v/>
      </c>
      <c r="J12" s="92" t="s">
        <v>216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5">
      <c r="A13" s="94" t="s">
        <v>7</v>
      </c>
      <c r="B13" s="95" t="s">
        <v>3</v>
      </c>
      <c r="C13" s="95" t="s">
        <v>239</v>
      </c>
      <c r="D13" s="104" t="s">
        <v>242</v>
      </c>
      <c r="E13" s="96">
        <v>46216</v>
      </c>
      <c r="F13" s="96">
        <v>46217</v>
      </c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 t="s">
        <v>216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5">
      <c r="A14" s="91" t="s">
        <v>7</v>
      </c>
      <c r="B14" s="92" t="s">
        <v>3</v>
      </c>
      <c r="C14" s="92" t="s">
        <v>240</v>
      </c>
      <c r="D14" s="102" t="s">
        <v>243</v>
      </c>
      <c r="E14" s="93">
        <v>46218</v>
      </c>
      <c r="F14" s="93">
        <v>46219</v>
      </c>
      <c r="G14" s="93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 t="s">
        <v>215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/>
      <c r="B15" s="95"/>
      <c r="C15" s="95"/>
      <c r="D15" s="95"/>
      <c r="E15" s="96"/>
      <c r="F15" s="96"/>
      <c r="G15" s="96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x14ac:dyDescent="0.35">
      <c r="A16" s="91"/>
      <c r="B16" s="92"/>
      <c r="C16" s="92"/>
      <c r="D16" s="92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5">
      <c r="A17" s="94"/>
      <c r="B17" s="95"/>
      <c r="C17" s="95"/>
      <c r="D17" s="95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5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5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5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5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5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5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5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5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5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B23" sqref="B23:D23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10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35">
      <c r="E3" s="8" t="s">
        <v>11</v>
      </c>
      <c r="F3" s="113" t="s">
        <v>12</v>
      </c>
      <c r="G3" s="113"/>
      <c r="H3" s="113"/>
    </row>
    <row r="4" spans="2:9" x14ac:dyDescent="0.35">
      <c r="B4" s="89" t="str">
        <f>Idiomas!$A$3</f>
        <v>Idioma</v>
      </c>
      <c r="E4" s="8" t="s">
        <v>13</v>
      </c>
      <c r="F4" s="114" t="s">
        <v>14</v>
      </c>
      <c r="G4" s="114"/>
      <c r="H4" s="114"/>
    </row>
    <row r="5" spans="2:9" ht="15" customHeight="1" x14ac:dyDescent="0.35">
      <c r="B5" s="90" t="s">
        <v>15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35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35">
      <c r="B10" s="76" t="s">
        <v>8</v>
      </c>
      <c r="D10" s="73" t="s">
        <v>3</v>
      </c>
      <c r="F10" s="69" t="s">
        <v>216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7</v>
      </c>
      <c r="D11" s="74" t="s">
        <v>4</v>
      </c>
      <c r="F11" s="70" t="s">
        <v>217</v>
      </c>
      <c r="H11" s="79" t="str">
        <f>Idiomas!$A$14</f>
        <v>Inicio</v>
      </c>
      <c r="I11" s="86">
        <v>3</v>
      </c>
    </row>
    <row r="12" spans="2:9" x14ac:dyDescent="0.35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3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5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35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69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17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7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0" t="s">
        <v>18</v>
      </c>
      <c r="C23" s="111"/>
      <c r="D23" s="112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R-60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R-60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R60:R67</v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R-51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R-51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R51:R58</v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R-42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R-42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R42:R49</v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R-33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R-33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R33:R40</v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R-24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R-24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R24:R31</v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R-15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R-15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R15:R22</v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R-6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R-6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R6:R13</v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2</v>
      </c>
      <c r="C9" s="57">
        <f>IFERROR(MATCH(Datos!$B9,Configura!$D$9:$D$11,0),0)</f>
        <v>3</v>
      </c>
      <c r="D9" s="57" cm="1">
        <f t="array" ref="D9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>H-6</v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H-6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H6:H13</v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1</v>
      </c>
      <c r="C10" s="53">
        <f>IFERROR(MATCH(Datos!$B10,Configura!$D$9:$D$11,0),0)</f>
        <v>1</v>
      </c>
      <c r="D10" s="53" cm="1">
        <f t="array" ref="D10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>C-15</v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C-15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C15:C22</v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1</v>
      </c>
      <c r="C11" s="57">
        <f>IFERROR(MATCH(Datos!$B11,Configura!$D$9:$D$11,0),0)</f>
        <v>1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>C-6</v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C-6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C6:C13</v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3</v>
      </c>
      <c r="C12" s="53">
        <f>IFERROR(MATCH(Datos!$B12,Configura!$D$9:$D$11,0),0)</f>
        <v>2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>M-24</v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M-24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M24:M31</v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3</v>
      </c>
      <c r="C13" s="57">
        <f>IFERROR(MATCH(Datos!$B13,Configura!$D$9:$D$11,0),0)</f>
        <v>2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>M-15</v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M-15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M15:M22</v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3</v>
      </c>
      <c r="C14" s="53">
        <f>IFERROR(MATCH(Datos!$B14,Configura!$D$9:$D$11,0),0)</f>
        <v>2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>M-6</v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M-6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M6:M13</v>
      </c>
    </row>
    <row r="15" spans="1:16" ht="15.5" thickTop="1" thickBot="1" x14ac:dyDescent="0.4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5" thickTop="1" thickBot="1" x14ac:dyDescent="0.4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5" thickTop="1" thickBot="1" x14ac:dyDescent="0.4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" thickTop="1" thickBot="1" x14ac:dyDescent="0.4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5" thickTop="1" thickBot="1" x14ac:dyDescent="0.4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5" thickTop="1" thickBot="1" x14ac:dyDescent="0.4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5" thickTop="1" thickBot="1" x14ac:dyDescent="0.4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5" thickTop="1" thickBot="1" x14ac:dyDescent="0.4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5" thickTop="1" thickBot="1" x14ac:dyDescent="0.4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5" thickTop="1" thickBot="1" x14ac:dyDescent="0.4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" thickTop="1" thickBot="1" x14ac:dyDescent="0.4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" thickTop="1" thickBot="1" x14ac:dyDescent="0.4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" thickTop="1" thickBot="1" x14ac:dyDescent="0.4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5" thickTop="1" thickBot="1" x14ac:dyDescent="0.4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5" thickTop="1" thickBot="1" x14ac:dyDescent="0.4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5" thickTop="1" thickBot="1" x14ac:dyDescent="0.4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5" thickTop="1" thickBot="1" x14ac:dyDescent="0.4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5" thickTop="1" thickBot="1" x14ac:dyDescent="0.4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5" thickTop="1" thickBot="1" x14ac:dyDescent="0.4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5" thickTop="1" thickBot="1" x14ac:dyDescent="0.4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5" thickTop="1" thickBot="1" x14ac:dyDescent="0.4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5" thickTop="1" thickBot="1" x14ac:dyDescent="0.4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10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1-1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8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3-1</v>
      </c>
      <c r="L3" s="19" t="str">
        <f ca="1"/>
        <v/>
      </c>
      <c r="M3" s="20">
        <v>1</v>
      </c>
      <c r="N3" s="20">
        <f t="shared" ref="N3:N34" ca="1" si="2">IF(M3&gt;M2,IFERROR(IF(P$1="v",SMALL(L$2:L$101,M3),LARGE(L$2:L$101,M3)),""),N2)</f>
        <v>13</v>
      </c>
      <c r="O3" s="20" cm="1">
        <f t="array" aca="1" ref="O3" ca="1">IF(N3="","",IF(N3&lt;&gt;N2,1,IF(O2=misLíneas-2,0,O2+1)))</f>
        <v>1</v>
      </c>
      <c r="P3" s="20" t="str" cm="1">
        <f t="array" aca="1" ref="P3" ca="1">IF(OR(O3=0,O3=""),"",INDEX(misCriticidades,N3)&amp;"-"&amp;IFERROR(MATCH(O3,miOrdenTarjeta,0),0))</f>
        <v>2-1</v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7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>
        <f t="shared" ca="1" si="0"/>
        <v>10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1-2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8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3-2</v>
      </c>
      <c r="L4" s="19" t="str">
        <f ca="1"/>
        <v/>
      </c>
      <c r="M4" s="20">
        <f t="shared" ref="M4:M67" ca="1" si="12">M3--(O3=0)</f>
        <v>1</v>
      </c>
      <c r="N4" s="20">
        <f t="shared" ca="1" si="2"/>
        <v>13</v>
      </c>
      <c r="O4" s="20" cm="1">
        <f t="array" aca="1" ref="O4" ca="1">IF(N4="","",IF(N4&lt;&gt;N3,1,IF(O3=misLíneas-2,0,O3+1)))</f>
        <v>2</v>
      </c>
      <c r="P4" s="20" t="str" cm="1">
        <f t="array" aca="1" ref="P4" ca="1">IF(OR(O4=0,O4=""),"",INDEX(misCriticidades,N4)&amp;"-"&amp;IFERROR(MATCH(O4,miOrdenTarjeta,0),0))</f>
        <v>2-2</v>
      </c>
      <c r="Q4" s="19">
        <f ca="1"/>
        <v>3</v>
      </c>
      <c r="R4" s="20">
        <f t="shared" ref="R4:R67" ca="1" si="13">R3--(T3=0)</f>
        <v>1</v>
      </c>
      <c r="S4" s="20">
        <f t="shared" ca="1" si="3"/>
        <v>7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>
        <f t="shared" ca="1" si="0"/>
        <v>10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1-3</v>
      </c>
      <c r="G5" s="19" t="str">
        <f ca="1"/>
        <v/>
      </c>
      <c r="H5" s="20">
        <f t="shared" ca="1" si="11"/>
        <v>1</v>
      </c>
      <c r="I5" s="20">
        <f t="shared" ca="1" si="1"/>
        <v>8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3-3</v>
      </c>
      <c r="L5" s="19" t="str">
        <f ca="1"/>
        <v/>
      </c>
      <c r="M5" s="20">
        <f t="shared" ca="1" si="12"/>
        <v>1</v>
      </c>
      <c r="N5" s="20">
        <f t="shared" ca="1" si="2"/>
        <v>13</v>
      </c>
      <c r="O5" s="20" cm="1">
        <f t="array" aca="1" ref="O5" ca="1">IF(N5="","",IF(N5&lt;&gt;N4,1,IF(O4=misLíneas-2,0,O4+1)))</f>
        <v>3</v>
      </c>
      <c r="P5" s="20" t="str" cm="1">
        <f t="array" aca="1" ref="P5" ca="1">IF(OR(O5=0,O5=""),"",INDEX(misCriticidades,N5)&amp;"-"&amp;IFERROR(MATCH(O5,miOrdenTarjeta,0),0))</f>
        <v>2-3</v>
      </c>
      <c r="Q5" s="19">
        <f ca="1"/>
        <v>4</v>
      </c>
      <c r="R5" s="20">
        <f t="shared" ca="1" si="13"/>
        <v>1</v>
      </c>
      <c r="S5" s="20">
        <f t="shared" ca="1" si="3"/>
        <v>7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>
        <f t="shared" ca="1" si="0"/>
        <v>10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1-4</v>
      </c>
      <c r="G6" s="19" t="str">
        <f ca="1"/>
        <v/>
      </c>
      <c r="H6" s="20">
        <f t="shared" ca="1" si="11"/>
        <v>1</v>
      </c>
      <c r="I6" s="20">
        <f t="shared" ca="1" si="1"/>
        <v>8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3-4</v>
      </c>
      <c r="L6" s="19" t="str">
        <f ca="1"/>
        <v/>
      </c>
      <c r="M6" s="20">
        <f t="shared" ca="1" si="12"/>
        <v>1</v>
      </c>
      <c r="N6" s="20">
        <f t="shared" ca="1" si="2"/>
        <v>13</v>
      </c>
      <c r="O6" s="20" cm="1">
        <f t="array" aca="1" ref="O6" ca="1">IF(N6="","",IF(N6&lt;&gt;N5,1,IF(O5=misLíneas-2,0,O5+1)))</f>
        <v>4</v>
      </c>
      <c r="P6" s="20" t="str" cm="1">
        <f t="array" aca="1" ref="P6" ca="1">IF(OR(O6=0,O6=""),"",INDEX(misCriticidades,N6)&amp;"-"&amp;IFERROR(MATCH(O6,miOrdenTarjeta,0),0))</f>
        <v>2-4</v>
      </c>
      <c r="Q6" s="19">
        <f ca="1"/>
        <v>5</v>
      </c>
      <c r="R6" s="20">
        <f t="shared" ca="1" si="13"/>
        <v>1</v>
      </c>
      <c r="S6" s="20">
        <f t="shared" ca="1" si="3"/>
        <v>7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>
        <f t="shared" ca="1" si="0"/>
        <v>10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1-5</v>
      </c>
      <c r="G7" s="19" t="str">
        <f ca="1"/>
        <v/>
      </c>
      <c r="H7" s="20">
        <f t="shared" ca="1" si="11"/>
        <v>1</v>
      </c>
      <c r="I7" s="20">
        <f t="shared" ca="1" si="1"/>
        <v>8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3-5</v>
      </c>
      <c r="L7" s="19" t="str">
        <f ca="1"/>
        <v/>
      </c>
      <c r="M7" s="20">
        <f t="shared" ca="1" si="12"/>
        <v>1</v>
      </c>
      <c r="N7" s="20">
        <f t="shared" ca="1" si="2"/>
        <v>13</v>
      </c>
      <c r="O7" s="20" cm="1">
        <f t="array" aca="1" ref="O7" ca="1">IF(N7="","",IF(N7&lt;&gt;N6,1,IF(O6=misLíneas-2,0,O6+1)))</f>
        <v>5</v>
      </c>
      <c r="P7" s="20" t="str" cm="1">
        <f t="array" aca="1" ref="P7" ca="1">IF(OR(O7=0,O7=""),"",INDEX(misCriticidades,N7)&amp;"-"&amp;IFERROR(MATCH(O7,miOrdenTarjeta,0),0))</f>
        <v>2-5</v>
      </c>
      <c r="Q7" s="19">
        <f ca="1"/>
        <v>6</v>
      </c>
      <c r="R7" s="20">
        <f t="shared" ca="1" si="13"/>
        <v>1</v>
      </c>
      <c r="S7" s="20">
        <f t="shared" ca="1" si="3"/>
        <v>7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>
        <f t="shared" ca="1" si="0"/>
        <v>10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1-6</v>
      </c>
      <c r="G8" s="19" t="str">
        <f ca="1"/>
        <v/>
      </c>
      <c r="H8" s="20">
        <f t="shared" ca="1" si="11"/>
        <v>1</v>
      </c>
      <c r="I8" s="20">
        <f t="shared" ca="1" si="1"/>
        <v>8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3-6</v>
      </c>
      <c r="L8" s="19" t="str">
        <f ca="1"/>
        <v/>
      </c>
      <c r="M8" s="20">
        <f t="shared" ca="1" si="12"/>
        <v>1</v>
      </c>
      <c r="N8" s="20">
        <f t="shared" ca="1" si="2"/>
        <v>13</v>
      </c>
      <c r="O8" s="20" cm="1">
        <f t="array" aca="1" ref="O8" ca="1">IF(N8="","",IF(N8&lt;&gt;N7,1,IF(O7=misLíneas-2,0,O7+1)))</f>
        <v>6</v>
      </c>
      <c r="P8" s="20" t="str" cm="1">
        <f t="array" aca="1" ref="P8" ca="1">IF(OR(O8=0,O8=""),"",INDEX(misCriticidades,N8)&amp;"-"&amp;IFERROR(MATCH(O8,miOrdenTarjeta,0),0))</f>
        <v>2-6</v>
      </c>
      <c r="Q8" s="19">
        <f ca="1"/>
        <v>7</v>
      </c>
      <c r="R8" s="20">
        <f t="shared" ca="1" si="13"/>
        <v>1</v>
      </c>
      <c r="S8" s="20">
        <f t="shared" ca="1" si="3"/>
        <v>7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>
        <f t="shared" ca="1" si="0"/>
        <v>10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1-7</v>
      </c>
      <c r="G9" s="19">
        <f ca="1"/>
        <v>8</v>
      </c>
      <c r="H9" s="20">
        <f t="shared" ca="1" si="11"/>
        <v>1</v>
      </c>
      <c r="I9" s="20">
        <f t="shared" ca="1" si="1"/>
        <v>8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3-7</v>
      </c>
      <c r="L9" s="19" t="str">
        <f ca="1"/>
        <v/>
      </c>
      <c r="M9" s="20">
        <f t="shared" ca="1" si="12"/>
        <v>1</v>
      </c>
      <c r="N9" s="20">
        <f t="shared" ca="1" si="2"/>
        <v>13</v>
      </c>
      <c r="O9" s="20" cm="1">
        <f t="array" aca="1" ref="O9" ca="1">IF(N9="","",IF(N9&lt;&gt;N8,1,IF(O8=misLíneas-2,0,O8+1)))</f>
        <v>7</v>
      </c>
      <c r="P9" s="20" t="str" cm="1">
        <f t="array" aca="1" ref="P9" ca="1">IF(OR(O9=0,O9=""),"",INDEX(misCriticidades,N9)&amp;"-"&amp;IFERROR(MATCH(O9,miOrdenTarjeta,0),0))</f>
        <v>2-7</v>
      </c>
      <c r="Q9" s="19" t="str">
        <f ca="1"/>
        <v/>
      </c>
      <c r="R9" s="20">
        <f t="shared" ca="1" si="13"/>
        <v>1</v>
      </c>
      <c r="S9" s="20">
        <f t="shared" ca="1" si="3"/>
        <v>7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>
        <f ca="1"/>
        <v>9</v>
      </c>
      <c r="C10" s="20">
        <f ca="1">C9--(E9=0)</f>
        <v>1</v>
      </c>
      <c r="D10" s="20">
        <f t="shared" ca="1" si="0"/>
        <v>10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1-8</v>
      </c>
      <c r="G10" s="19" t="str">
        <f ca="1"/>
        <v/>
      </c>
      <c r="H10" s="20">
        <f t="shared" ca="1" si="11"/>
        <v>1</v>
      </c>
      <c r="I10" s="20">
        <f t="shared" ca="1" si="1"/>
        <v>8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3-8</v>
      </c>
      <c r="L10" s="19" t="str">
        <f ca="1"/>
        <v/>
      </c>
      <c r="M10" s="20">
        <f t="shared" ca="1" si="12"/>
        <v>1</v>
      </c>
      <c r="N10" s="20">
        <f t="shared" ca="1" si="2"/>
        <v>13</v>
      </c>
      <c r="O10" s="20" cm="1">
        <f t="array" aca="1" ref="O10" ca="1">IF(N10="","",IF(N10&lt;&gt;N9,1,IF(O9=misLíneas-2,0,O9+1)))</f>
        <v>8</v>
      </c>
      <c r="P10" s="20" t="str" cm="1">
        <f t="array" aca="1" ref="P10" ca="1">IF(OR(O10=0,O10=""),"",INDEX(misCriticidades,N10)&amp;"-"&amp;IFERROR(MATCH(O10,miOrdenTarjeta,0),0))</f>
        <v>2-8</v>
      </c>
      <c r="Q10" s="19" t="str">
        <f ca="1"/>
        <v/>
      </c>
      <c r="R10" s="20">
        <f t="shared" ca="1" si="13"/>
        <v>1</v>
      </c>
      <c r="S10" s="20">
        <f t="shared" ca="1" si="3"/>
        <v>7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>
        <f ca="1"/>
        <v>10</v>
      </c>
      <c r="C11" s="20">
        <f t="shared" ref="C11:C74" ca="1" si="20">C10--(E10=0)</f>
        <v>1</v>
      </c>
      <c r="D11" s="20">
        <f t="shared" ca="1" si="0"/>
        <v>10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8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>
        <f t="shared" ca="1" si="2"/>
        <v>13</v>
      </c>
      <c r="O11" s="20" cm="1">
        <f t="array" aca="1" ref="O11" ca="1">IF(N11="","",IF(N11&lt;&gt;N10,1,IF(O10=misLíneas-2,0,O10+1)))</f>
        <v>0</v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7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2</v>
      </c>
      <c r="D12" s="20">
        <f t="shared" ca="1" si="0"/>
        <v>9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1-1</v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>
        <f ca="1"/>
        <v>11</v>
      </c>
      <c r="M12" s="20">
        <f t="shared" ca="1" si="12"/>
        <v>2</v>
      </c>
      <c r="N12" s="20">
        <f t="shared" ca="1" si="2"/>
        <v>12</v>
      </c>
      <c r="O12" s="20" cm="1">
        <f t="array" aca="1" ref="O12" ca="1">IF(N12="","",IF(N12&lt;&gt;N11,1,IF(O11=misLíneas-2,0,O11+1)))</f>
        <v>1</v>
      </c>
      <c r="P12" s="20" t="str" cm="1">
        <f t="array" aca="1" ref="P12" ca="1">IF(OR(O12=0,O12=""),"",INDEX(misCriticidades,N12)&amp;"-"&amp;IFERROR(MATCH(O12,miOrdenTarjeta,0),0))</f>
        <v>2-1</v>
      </c>
      <c r="Q12" s="19" t="str">
        <f ca="1"/>
        <v/>
      </c>
      <c r="R12" s="20">
        <f t="shared" ca="1" si="13"/>
        <v>2</v>
      </c>
      <c r="S12" s="20">
        <f t="shared" ca="1" si="3"/>
        <v>6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2</v>
      </c>
      <c r="D13" s="20">
        <f t="shared" ca="1" si="0"/>
        <v>9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1-2</v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>
        <f ca="1"/>
        <v>12</v>
      </c>
      <c r="M13" s="20">
        <f t="shared" ca="1" si="12"/>
        <v>2</v>
      </c>
      <c r="N13" s="20">
        <f t="shared" ca="1" si="2"/>
        <v>12</v>
      </c>
      <c r="O13" s="20" cm="1">
        <f t="array" aca="1" ref="O13" ca="1">IF(N13="","",IF(N13&lt;&gt;N12,1,IF(O12=misLíneas-2,0,O12+1)))</f>
        <v>2</v>
      </c>
      <c r="P13" s="20" t="str" cm="1">
        <f t="array" aca="1" ref="P13" ca="1">IF(OR(O13=0,O13=""),"",INDEX(misCriticidades,N13)&amp;"-"&amp;IFERROR(MATCH(O13,miOrdenTarjeta,0),0))</f>
        <v>2-2</v>
      </c>
      <c r="Q13" s="19" t="str">
        <f ca="1"/>
        <v/>
      </c>
      <c r="R13" s="20">
        <f t="shared" ca="1" si="13"/>
        <v>2</v>
      </c>
      <c r="S13" s="20">
        <f t="shared" ca="1" si="3"/>
        <v>6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2</v>
      </c>
      <c r="D14" s="20">
        <f t="shared" ca="1" si="0"/>
        <v>9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1-3</v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>
        <f ca="1"/>
        <v>13</v>
      </c>
      <c r="M14" s="20">
        <f t="shared" ca="1" si="12"/>
        <v>2</v>
      </c>
      <c r="N14" s="20">
        <f t="shared" ca="1" si="2"/>
        <v>12</v>
      </c>
      <c r="O14" s="20" cm="1">
        <f t="array" aca="1" ref="O14" ca="1">IF(N14="","",IF(N14&lt;&gt;N13,1,IF(O13=misLíneas-2,0,O13+1)))</f>
        <v>3</v>
      </c>
      <c r="P14" s="20" t="str" cm="1">
        <f t="array" aca="1" ref="P14" ca="1">IF(OR(O14=0,O14=""),"",INDEX(misCriticidades,N14)&amp;"-"&amp;IFERROR(MATCH(O14,miOrdenTarjeta,0),0))</f>
        <v>2-3</v>
      </c>
      <c r="Q14" s="19" t="str">
        <f ca="1"/>
        <v/>
      </c>
      <c r="R14" s="20">
        <f t="shared" ca="1" si="13"/>
        <v>2</v>
      </c>
      <c r="S14" s="20">
        <f t="shared" ca="1" si="3"/>
        <v>6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2</v>
      </c>
      <c r="D15" s="20">
        <f t="shared" ca="1" si="0"/>
        <v>9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1-4</v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2</v>
      </c>
      <c r="N15" s="20">
        <f t="shared" ca="1" si="2"/>
        <v>12</v>
      </c>
      <c r="O15" s="20" cm="1">
        <f t="array" aca="1" ref="O15" ca="1">IF(N15="","",IF(N15&lt;&gt;N14,1,IF(O14=misLíneas-2,0,O14+1)))</f>
        <v>4</v>
      </c>
      <c r="P15" s="20" t="str" cm="1">
        <f t="array" aca="1" ref="P15" ca="1">IF(OR(O15=0,O15=""),"",INDEX(misCriticidades,N15)&amp;"-"&amp;IFERROR(MATCH(O15,miOrdenTarjeta,0),0))</f>
        <v>2-4</v>
      </c>
      <c r="Q15" s="19" t="str">
        <f ca="1"/>
        <v/>
      </c>
      <c r="R15" s="20">
        <f t="shared" ca="1" si="13"/>
        <v>2</v>
      </c>
      <c r="S15" s="20">
        <f t="shared" ca="1" si="3"/>
        <v>6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2</v>
      </c>
      <c r="D16" s="20">
        <f t="shared" ca="1" si="0"/>
        <v>9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1-5</v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2</v>
      </c>
      <c r="N16" s="20">
        <f t="shared" ca="1" si="2"/>
        <v>12</v>
      </c>
      <c r="O16" s="20" cm="1">
        <f t="array" aca="1" ref="O16" ca="1">IF(N16="","",IF(N16&lt;&gt;N15,1,IF(O15=misLíneas-2,0,O15+1)))</f>
        <v>5</v>
      </c>
      <c r="P16" s="20" t="str" cm="1">
        <f t="array" aca="1" ref="P16" ca="1">IF(OR(O16=0,O16=""),"",INDEX(misCriticidades,N16)&amp;"-"&amp;IFERROR(MATCH(O16,miOrdenTarjeta,0),0))</f>
        <v>2-5</v>
      </c>
      <c r="Q16" s="19" t="str">
        <f ca="1"/>
        <v/>
      </c>
      <c r="R16" s="20">
        <f t="shared" ca="1" si="13"/>
        <v>2</v>
      </c>
      <c r="S16" s="20">
        <f t="shared" ca="1" si="3"/>
        <v>6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2</v>
      </c>
      <c r="D17" s="20">
        <f t="shared" ca="1" si="0"/>
        <v>9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1-6</v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2</v>
      </c>
      <c r="N17" s="20">
        <f t="shared" ca="1" si="2"/>
        <v>12</v>
      </c>
      <c r="O17" s="20" cm="1">
        <f t="array" aca="1" ref="O17" ca="1">IF(N17="","",IF(N17&lt;&gt;N16,1,IF(O16=misLíneas-2,0,O16+1)))</f>
        <v>6</v>
      </c>
      <c r="P17" s="20" t="str" cm="1">
        <f t="array" aca="1" ref="P17" ca="1">IF(OR(O17=0,O17=""),"",INDEX(misCriticidades,N17)&amp;"-"&amp;IFERROR(MATCH(O17,miOrdenTarjeta,0),0))</f>
        <v>2-6</v>
      </c>
      <c r="Q17" s="19" t="str">
        <f ca="1"/>
        <v/>
      </c>
      <c r="R17" s="20">
        <f t="shared" ca="1" si="13"/>
        <v>2</v>
      </c>
      <c r="S17" s="20">
        <f t="shared" ca="1" si="3"/>
        <v>6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2</v>
      </c>
      <c r="D18" s="20">
        <f t="shared" ca="1" si="0"/>
        <v>9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1-7</v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2</v>
      </c>
      <c r="N18" s="20">
        <f t="shared" ca="1" si="2"/>
        <v>12</v>
      </c>
      <c r="O18" s="20" cm="1">
        <f t="array" aca="1" ref="O18" ca="1">IF(N18="","",IF(N18&lt;&gt;N17,1,IF(O17=misLíneas-2,0,O17+1)))</f>
        <v>7</v>
      </c>
      <c r="P18" s="20" t="str" cm="1">
        <f t="array" aca="1" ref="P18" ca="1">IF(OR(O18=0,O18=""),"",INDEX(misCriticidades,N18)&amp;"-"&amp;IFERROR(MATCH(O18,miOrdenTarjeta,0),0))</f>
        <v>2-7</v>
      </c>
      <c r="Q18" s="19" t="str">
        <f ca="1"/>
        <v/>
      </c>
      <c r="R18" s="20">
        <f t="shared" ca="1" si="13"/>
        <v>2</v>
      </c>
      <c r="S18" s="20">
        <f t="shared" ca="1" si="3"/>
        <v>6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2</v>
      </c>
      <c r="D19" s="20">
        <f t="shared" ca="1" si="0"/>
        <v>9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1-8</v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2</v>
      </c>
      <c r="N19" s="20">
        <f t="shared" ca="1" si="2"/>
        <v>12</v>
      </c>
      <c r="O19" s="20" cm="1">
        <f t="array" aca="1" ref="O19" ca="1">IF(N19="","",IF(N19&lt;&gt;N18,1,IF(O18=misLíneas-2,0,O18+1)))</f>
        <v>8</v>
      </c>
      <c r="P19" s="20" t="str" cm="1">
        <f t="array" aca="1" ref="P19" ca="1">IF(OR(O19=0,O19=""),"",INDEX(misCriticidades,N19)&amp;"-"&amp;IFERROR(MATCH(O19,miOrdenTarjeta,0),0))</f>
        <v>2-8</v>
      </c>
      <c r="Q19" s="19" t="str">
        <f ca="1"/>
        <v/>
      </c>
      <c r="R19" s="20">
        <f t="shared" ca="1" si="13"/>
        <v>2</v>
      </c>
      <c r="S19" s="20">
        <f t="shared" ca="1" si="3"/>
        <v>6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2</v>
      </c>
      <c r="D20" s="20">
        <f t="shared" ca="1" si="0"/>
        <v>9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2</v>
      </c>
      <c r="N20" s="20">
        <f t="shared" ca="1" si="2"/>
        <v>12</v>
      </c>
      <c r="O20" s="20" cm="1">
        <f t="array" aca="1" ref="O20" ca="1">IF(N20="","",IF(N20&lt;&gt;N19,1,IF(O19=misLíneas-2,0,O19+1)))</f>
        <v>0</v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6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3</v>
      </c>
      <c r="N21" s="20">
        <f t="shared" ca="1" si="2"/>
        <v>11</v>
      </c>
      <c r="O21" s="20" cm="1">
        <f t="array" aca="1" ref="O21" ca="1">IF(N21="","",IF(N21&lt;&gt;N20,1,IF(O20=misLíneas-2,0,O20+1)))</f>
        <v>1</v>
      </c>
      <c r="P21" s="20" t="str" cm="1">
        <f t="array" aca="1" ref="P21" ca="1">IF(OR(O21=0,O21=""),"",INDEX(misCriticidades,N21)&amp;"-"&amp;IFERROR(MATCH(O21,miOrdenTarjeta,0),0))</f>
        <v>2-1</v>
      </c>
      <c r="Q21" s="19" t="str">
        <f ca="1"/>
        <v/>
      </c>
      <c r="R21" s="20">
        <f t="shared" ca="1" si="13"/>
        <v>3</v>
      </c>
      <c r="S21" s="20">
        <f t="shared" ca="1" si="3"/>
        <v>5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3</v>
      </c>
      <c r="N22" s="20">
        <f t="shared" ca="1" si="2"/>
        <v>11</v>
      </c>
      <c r="O22" s="20" cm="1">
        <f t="array" aca="1" ref="O22" ca="1">IF(N22="","",IF(N22&lt;&gt;N21,1,IF(O21=misLíneas-2,0,O21+1)))</f>
        <v>2</v>
      </c>
      <c r="P22" s="20" t="str" cm="1">
        <f t="array" aca="1" ref="P22" ca="1">IF(OR(O22=0,O22=""),"",INDEX(misCriticidades,N22)&amp;"-"&amp;IFERROR(MATCH(O22,miOrdenTarjeta,0),0))</f>
        <v>2-2</v>
      </c>
      <c r="Q22" s="19" t="str">
        <f ca="1"/>
        <v/>
      </c>
      <c r="R22" s="20">
        <f t="shared" ca="1" si="13"/>
        <v>3</v>
      </c>
      <c r="S22" s="20">
        <f t="shared" ca="1" si="3"/>
        <v>5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3</v>
      </c>
      <c r="N23" s="20">
        <f t="shared" ca="1" si="2"/>
        <v>11</v>
      </c>
      <c r="O23" s="20" cm="1">
        <f t="array" aca="1" ref="O23" ca="1">IF(N23="","",IF(N23&lt;&gt;N22,1,IF(O22=misLíneas-2,0,O22+1)))</f>
        <v>3</v>
      </c>
      <c r="P23" s="20" t="str" cm="1">
        <f t="array" aca="1" ref="P23" ca="1">IF(OR(O23=0,O23=""),"",INDEX(misCriticidades,N23)&amp;"-"&amp;IFERROR(MATCH(O23,miOrdenTarjeta,0),0))</f>
        <v>2-3</v>
      </c>
      <c r="Q23" s="19" t="str">
        <f ca="1"/>
        <v/>
      </c>
      <c r="R23" s="20">
        <f t="shared" ca="1" si="13"/>
        <v>3</v>
      </c>
      <c r="S23" s="20">
        <f t="shared" ca="1" si="3"/>
        <v>5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3</v>
      </c>
      <c r="N24" s="20">
        <f t="shared" ca="1" si="2"/>
        <v>11</v>
      </c>
      <c r="O24" s="20" cm="1">
        <f t="array" aca="1" ref="O24" ca="1">IF(N24="","",IF(N24&lt;&gt;N23,1,IF(O23=misLíneas-2,0,O23+1)))</f>
        <v>4</v>
      </c>
      <c r="P24" s="20" t="str" cm="1">
        <f t="array" aca="1" ref="P24" ca="1">IF(OR(O24=0,O24=""),"",INDEX(misCriticidades,N24)&amp;"-"&amp;IFERROR(MATCH(O24,miOrdenTarjeta,0),0))</f>
        <v>2-4</v>
      </c>
      <c r="Q24" s="19" t="str">
        <f ca="1"/>
        <v/>
      </c>
      <c r="R24" s="20">
        <f t="shared" ca="1" si="13"/>
        <v>3</v>
      </c>
      <c r="S24" s="20">
        <f t="shared" ca="1" si="3"/>
        <v>5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3</v>
      </c>
      <c r="N25" s="20">
        <f t="shared" ca="1" si="2"/>
        <v>11</v>
      </c>
      <c r="O25" s="20" cm="1">
        <f t="array" aca="1" ref="O25" ca="1">IF(N25="","",IF(N25&lt;&gt;N24,1,IF(O24=misLíneas-2,0,O24+1)))</f>
        <v>5</v>
      </c>
      <c r="P25" s="20" t="str" cm="1">
        <f t="array" aca="1" ref="P25" ca="1">IF(OR(O25=0,O25=""),"",INDEX(misCriticidades,N25)&amp;"-"&amp;IFERROR(MATCH(O25,miOrdenTarjeta,0),0))</f>
        <v>2-5</v>
      </c>
      <c r="Q25" s="19" t="str">
        <f ca="1"/>
        <v/>
      </c>
      <c r="R25" s="20">
        <f t="shared" ca="1" si="13"/>
        <v>3</v>
      </c>
      <c r="S25" s="20">
        <f t="shared" ca="1" si="3"/>
        <v>5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3</v>
      </c>
      <c r="N26" s="20">
        <f t="shared" ca="1" si="2"/>
        <v>11</v>
      </c>
      <c r="O26" s="20" cm="1">
        <f t="array" aca="1" ref="O26" ca="1">IF(N26="","",IF(N26&lt;&gt;N25,1,IF(O25=misLíneas-2,0,O25+1)))</f>
        <v>6</v>
      </c>
      <c r="P26" s="20" t="str" cm="1">
        <f t="array" aca="1" ref="P26" ca="1">IF(OR(O26=0,O26=""),"",INDEX(misCriticidades,N26)&amp;"-"&amp;IFERROR(MATCH(O26,miOrdenTarjeta,0),0))</f>
        <v>2-6</v>
      </c>
      <c r="Q26" s="19" t="str">
        <f ca="1"/>
        <v/>
      </c>
      <c r="R26" s="20">
        <f t="shared" ca="1" si="13"/>
        <v>3</v>
      </c>
      <c r="S26" s="20">
        <f t="shared" ca="1" si="3"/>
        <v>5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3</v>
      </c>
      <c r="N27" s="20">
        <f t="shared" ca="1" si="2"/>
        <v>11</v>
      </c>
      <c r="O27" s="20" cm="1">
        <f t="array" aca="1" ref="O27" ca="1">IF(N27="","",IF(N27&lt;&gt;N26,1,IF(O26=misLíneas-2,0,O26+1)))</f>
        <v>7</v>
      </c>
      <c r="P27" s="20" t="str" cm="1">
        <f t="array" aca="1" ref="P27" ca="1">IF(OR(O27=0,O27=""),"",INDEX(misCriticidades,N27)&amp;"-"&amp;IFERROR(MATCH(O27,miOrdenTarjeta,0),0))</f>
        <v>2-7</v>
      </c>
      <c r="Q27" s="19" t="str">
        <f ca="1"/>
        <v/>
      </c>
      <c r="R27" s="20">
        <f t="shared" ca="1" si="13"/>
        <v>3</v>
      </c>
      <c r="S27" s="20">
        <f t="shared" ca="1" si="3"/>
        <v>5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3</v>
      </c>
      <c r="N28" s="20">
        <f t="shared" ca="1" si="2"/>
        <v>11</v>
      </c>
      <c r="O28" s="20" cm="1">
        <f t="array" aca="1" ref="O28" ca="1">IF(N28="","",IF(N28&lt;&gt;N27,1,IF(O27=misLíneas-2,0,O27+1)))</f>
        <v>8</v>
      </c>
      <c r="P28" s="20" t="str" cm="1">
        <f t="array" aca="1" ref="P28" ca="1">IF(OR(O28=0,O28=""),"",INDEX(misCriticidades,N28)&amp;"-"&amp;IFERROR(MATCH(O28,miOrdenTarjeta,0),0))</f>
        <v>2-8</v>
      </c>
      <c r="Q28" s="19" t="str">
        <f ca="1"/>
        <v/>
      </c>
      <c r="R28" s="20">
        <f t="shared" ca="1" si="13"/>
        <v>3</v>
      </c>
      <c r="S28" s="20">
        <f t="shared" ca="1" si="3"/>
        <v>5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3</v>
      </c>
      <c r="N29" s="20">
        <f t="shared" ca="1" si="2"/>
        <v>11</v>
      </c>
      <c r="O29" s="20" cm="1">
        <f t="array" aca="1" ref="O29" ca="1">IF(N29="","",IF(N29&lt;&gt;N28,1,IF(O28=misLíneas-2,0,O28+1)))</f>
        <v>0</v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5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4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4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4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4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4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4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4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4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4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4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3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4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3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4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3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4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3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4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3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4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3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4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3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4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3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4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3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4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4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4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4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4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4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4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4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4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4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4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4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4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4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4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4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4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4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4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4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4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4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4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4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4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4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4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4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8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4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8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4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8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4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8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4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8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4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8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4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8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4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8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4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8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4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8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4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8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4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8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4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8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4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8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4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8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4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8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4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8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4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8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4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8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4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8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4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8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4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8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4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8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4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8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4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8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4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8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4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8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4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8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4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8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4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8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4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8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4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8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4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8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4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8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4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8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4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8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4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8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4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8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4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8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4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8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4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8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4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8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4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8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4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8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4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8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4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8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4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8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4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8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4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8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4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8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4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8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4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8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4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8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4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8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4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8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4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8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4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8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4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8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4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8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4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8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4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8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4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8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4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8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4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8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4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8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4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8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4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8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4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8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4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8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4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8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4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8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4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8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4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8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4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8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4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8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4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8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4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8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4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8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4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8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4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8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4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8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4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8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4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8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4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8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4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8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4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8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4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8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4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8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4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8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4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8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4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8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4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8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4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8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4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8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4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8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4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8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4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8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4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8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4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8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4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8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4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8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4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8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4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8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4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8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4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8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4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8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4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8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4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8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4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8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4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8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4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8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4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8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4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8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4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8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4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8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4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8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4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8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4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8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4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8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4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8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4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8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4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8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4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8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4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8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35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35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35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35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35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35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35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35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35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35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35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35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35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35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35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35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35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35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35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Alex Cuzco</cp:lastModifiedBy>
  <cp:revision>0</cp:revision>
  <dcterms:created xsi:type="dcterms:W3CDTF">2022-12-26T11:27:14Z</dcterms:created>
  <dcterms:modified xsi:type="dcterms:W3CDTF">2026-07-07T02:16:44Z</dcterms:modified>
  <cp:category/>
  <cp:contentStatus/>
</cp:coreProperties>
</file>